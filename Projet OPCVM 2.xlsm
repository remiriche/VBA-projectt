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mir\Desktop\"/>
    </mc:Choice>
  </mc:AlternateContent>
  <xr:revisionPtr revIDLastSave="0" documentId="13_ncr:1_{2A6D0936-2E87-49AD-9AFB-391152A5716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dicateurs financiers" sheetId="1" r:id="rId1"/>
    <sheet name="Data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Q31" i="1" l="1"/>
  <c r="CF31" i="1"/>
  <c r="BU31" i="1"/>
  <c r="BJ31" i="1"/>
  <c r="AY31" i="1"/>
  <c r="AN31" i="1"/>
  <c r="AC31" i="1"/>
  <c r="R31" i="1"/>
  <c r="G31" i="1"/>
  <c r="V57" i="1"/>
  <c r="V56" i="1"/>
  <c r="V55" i="1"/>
  <c r="V54" i="1"/>
  <c r="V53" i="1"/>
  <c r="V52" i="1"/>
  <c r="V51" i="1"/>
  <c r="V50" i="1"/>
  <c r="CS31" i="2"/>
  <c r="CI31" i="2"/>
  <c r="BY31" i="2"/>
  <c r="BO31" i="2"/>
  <c r="BE31" i="2"/>
  <c r="AU31" i="2"/>
  <c r="AK31" i="2"/>
  <c r="AA31" i="2"/>
  <c r="Q31" i="2"/>
  <c r="G31" i="2"/>
  <c r="K54" i="1"/>
</calcChain>
</file>

<file path=xl/sharedStrings.xml><?xml version="1.0" encoding="utf-8"?>
<sst xmlns="http://schemas.openxmlformats.org/spreadsheetml/2006/main" count="3338" uniqueCount="582">
  <si>
    <t>1 an</t>
  </si>
  <si>
    <t>3 ans</t>
  </si>
  <si>
    <t>5 ans</t>
  </si>
  <si>
    <t>Fonds</t>
  </si>
  <si>
    <t>Catégorie</t>
  </si>
  <si>
    <t>Différence</t>
  </si>
  <si>
    <t>Indice*</t>
  </si>
  <si>
    <t>Risque</t>
  </si>
  <si>
    <t>Volatilité </t>
  </si>
  <si>
    <t>Volatilité Cat</t>
  </si>
  <si>
    <t>Volatilité Indice</t>
  </si>
  <si>
    <t>Perte Maximum </t>
  </si>
  <si>
    <t>DSR </t>
  </si>
  <si>
    <t>Sortino </t>
  </si>
  <si>
    <t>VAR 95 </t>
  </si>
  <si>
    <t>VAR 99 </t>
  </si>
  <si>
    <t>Ratios</t>
  </si>
  <si>
    <t>Ratio de Sharpe </t>
  </si>
  <si>
    <t>Ecart de Suivi </t>
  </si>
  <si>
    <t>Ratio d'Information (IR) </t>
  </si>
  <si>
    <t>Up Capture Ratio </t>
  </si>
  <si>
    <t>Down Capture Ratio </t>
  </si>
  <si>
    <t>Ratio Omega </t>
  </si>
  <si>
    <t>Réactivité</t>
  </si>
  <si>
    <t>Beta </t>
  </si>
  <si>
    <t>R² </t>
  </si>
  <si>
    <t>Beta haussier </t>
  </si>
  <si>
    <t>Beta baissier </t>
  </si>
  <si>
    <t>Asymétrie</t>
  </si>
  <si>
    <t>Skewness </t>
  </si>
  <si>
    <t>Kurtosis </t>
  </si>
  <si>
    <t>Année</t>
  </si>
  <si>
    <t>Perf Annualisée </t>
  </si>
  <si>
    <t>Indicateurs de risque</t>
  </si>
  <si>
    <t>valeur à 3 ans</t>
  </si>
  <si>
    <t>Par rapport à la Cat</t>
  </si>
  <si>
    <t>Très bon</t>
  </si>
  <si>
    <t>Perte max </t>
  </si>
  <si>
    <t>Bon</t>
  </si>
  <si>
    <t>Beta baiss. </t>
  </si>
  <si>
    <t>L'œil de l'expert</t>
  </si>
  <si>
    <t>Sharpe </t>
  </si>
  <si>
    <t>Ratio d'info. </t>
  </si>
  <si>
    <t>Moyen</t>
  </si>
  <si>
    <t>Omega </t>
  </si>
  <si>
    <t>Calmar </t>
  </si>
  <si>
    <t>Caractéristiques générales</t>
  </si>
  <si>
    <t>Type</t>
  </si>
  <si>
    <t>SICAV</t>
  </si>
  <si>
    <t>Capi/Distri </t>
  </si>
  <si>
    <t>Capitalisation</t>
  </si>
  <si>
    <t>Part couverte </t>
  </si>
  <si>
    <t>Non</t>
  </si>
  <si>
    <t>Fonds de fonds </t>
  </si>
  <si>
    <t>Eligible PEA </t>
  </si>
  <si>
    <t>Eligible PEA PME </t>
  </si>
  <si>
    <t>Actif de la part en EUR au 21/06/2023</t>
  </si>
  <si>
    <t>11,22 M€</t>
  </si>
  <si>
    <t>Variation de l'actif 3 mois</t>
  </si>
  <si>
    <t>Frais maximum</t>
  </si>
  <si>
    <t>Souscription </t>
  </si>
  <si>
    <t>Rachat </t>
  </si>
  <si>
    <t>Gestion </t>
  </si>
  <si>
    <t>Surperformance </t>
  </si>
  <si>
    <t>Néant</t>
  </si>
  <si>
    <t>Courants </t>
  </si>
  <si>
    <t>Synthèse</t>
  </si>
  <si>
    <r>
      <t>Perf Annualisée</t>
    </r>
    <r>
      <rPr>
        <sz val="6"/>
        <color rgb="FF0066CC"/>
        <rFont val="Arial"/>
        <family val="2"/>
      </rPr>
      <t> </t>
    </r>
  </si>
  <si>
    <t>-0,23 %</t>
  </si>
  <si>
    <t>12,08 %</t>
  </si>
  <si>
    <t>11,06 %</t>
  </si>
  <si>
    <t>0,21 %</t>
  </si>
  <si>
    <t>8,44 %</t>
  </si>
  <si>
    <t>6,44 %</t>
  </si>
  <si>
    <t>-0,44 %</t>
  </si>
  <si>
    <t>3,64 %</t>
  </si>
  <si>
    <t>4,62 %</t>
  </si>
  <si>
    <t>2,36 %</t>
  </si>
  <si>
    <t>12,51 %</t>
  </si>
  <si>
    <t>9,76 %</t>
  </si>
  <si>
    <t>-2,59 %</t>
  </si>
  <si>
    <t>-0,43 %</t>
  </si>
  <si>
    <t>1,29 %</t>
  </si>
  <si>
    <t>16,40 %</t>
  </si>
  <si>
    <t>14,64 %</t>
  </si>
  <si>
    <t>17,12 %</t>
  </si>
  <si>
    <t>14,23 %</t>
  </si>
  <si>
    <t>12,88 %</t>
  </si>
  <si>
    <t>14,99 %</t>
  </si>
  <si>
    <t>15,73 %</t>
  </si>
  <si>
    <t>14,84 %</t>
  </si>
  <si>
    <t>17,24 %</t>
  </si>
  <si>
    <t>-18,19 %</t>
  </si>
  <si>
    <t>-25,22 %</t>
  </si>
  <si>
    <t>-32,31 %</t>
  </si>
  <si>
    <t>-</t>
  </si>
  <si>
    <t>11,20 %</t>
  </si>
  <si>
    <t>9,55 %</t>
  </si>
  <si>
    <t>-0,13</t>
  </si>
  <si>
    <t>1,26</t>
  </si>
  <si>
    <t>0,93</t>
  </si>
  <si>
    <t>-4,53 %</t>
  </si>
  <si>
    <t>-3,27 %</t>
  </si>
  <si>
    <t>-5,00 %</t>
  </si>
  <si>
    <t>-4,93 %</t>
  </si>
  <si>
    <t>-9,18 %</t>
  </si>
  <si>
    <t>-0,09</t>
  </si>
  <si>
    <t>0,82</t>
  </si>
  <si>
    <t>0,66</t>
  </si>
  <si>
    <t>14,32 %</t>
  </si>
  <si>
    <t>11,82 %</t>
  </si>
  <si>
    <t>10,47 %</t>
  </si>
  <si>
    <t>-0,18</t>
  </si>
  <si>
    <t>-0,04</t>
  </si>
  <si>
    <t>0,12</t>
  </si>
  <si>
    <t>0,67</t>
  </si>
  <si>
    <t>0,76</t>
  </si>
  <si>
    <t>0,74</t>
  </si>
  <si>
    <t>1,04</t>
  </si>
  <si>
    <t>1,42</t>
  </si>
  <si>
    <t>1,35</t>
  </si>
  <si>
    <t>0,63</t>
  </si>
  <si>
    <t>0,81</t>
  </si>
  <si>
    <t>36,44</t>
  </si>
  <si>
    <t>46,04</t>
  </si>
  <si>
    <t>66,30</t>
  </si>
  <si>
    <t>0,24</t>
  </si>
  <si>
    <t>0,45</t>
  </si>
  <si>
    <t>0,73</t>
  </si>
  <si>
    <t>0,87</t>
  </si>
  <si>
    <t>0,80</t>
  </si>
  <si>
    <t>0,91</t>
  </si>
  <si>
    <t>0,32</t>
  </si>
  <si>
    <t>0,17</t>
  </si>
  <si>
    <t>-0,52</t>
  </si>
  <si>
    <t>1,91</t>
  </si>
  <si>
    <t>2,35</t>
  </si>
  <si>
    <t>6,40</t>
  </si>
  <si>
    <t>20 UGS Fiera Global Equity A CHF Cap - LU1389832426</t>
  </si>
  <si>
    <t>0,48</t>
  </si>
  <si>
    <t>Fonds de Fonds </t>
  </si>
  <si>
    <t>Fonds ISR </t>
  </si>
  <si>
    <t>Oui</t>
  </si>
  <si>
    <t>ETF </t>
  </si>
  <si>
    <t>FIA</t>
  </si>
  <si>
    <t>Eligible P.E.A. </t>
  </si>
  <si>
    <t>Eligible P.E.A. PME </t>
  </si>
  <si>
    <t>Investissements verts</t>
  </si>
  <si>
    <t>Juridique</t>
  </si>
  <si>
    <t>-0,32 %</t>
  </si>
  <si>
    <t>4,21 %</t>
  </si>
  <si>
    <t>1,51 %</t>
  </si>
  <si>
    <t>-2,06 %</t>
  </si>
  <si>
    <t>2,99 %</t>
  </si>
  <si>
    <t>1,30 %</t>
  </si>
  <si>
    <t>1,73 %</t>
  </si>
  <si>
    <t>1,22 %</t>
  </si>
  <si>
    <t>-0,54 %</t>
  </si>
  <si>
    <t>4,35 %</t>
  </si>
  <si>
    <t>5,47 %</t>
  </si>
  <si>
    <t>0,22 %</t>
  </si>
  <si>
    <t>-0,13 %</t>
  </si>
  <si>
    <t>-3,96 %</t>
  </si>
  <si>
    <t>10,31 %</t>
  </si>
  <si>
    <t>10,22 %</t>
  </si>
  <si>
    <t>12,42 %</t>
  </si>
  <si>
    <t>7,36 %</t>
  </si>
  <si>
    <t>6,76 %</t>
  </si>
  <si>
    <t>8,14 %</t>
  </si>
  <si>
    <t>9,11 %</t>
  </si>
  <si>
    <t>8,12 %</t>
  </si>
  <si>
    <t>9,15 %</t>
  </si>
  <si>
    <t>-9,82 %</t>
  </si>
  <si>
    <t>-18,94 %</t>
  </si>
  <si>
    <t>-22,22 %</t>
  </si>
  <si>
    <t>7,62 %</t>
  </si>
  <si>
    <t>7,08 %</t>
  </si>
  <si>
    <t>-0,20</t>
  </si>
  <si>
    <t>0,59</t>
  </si>
  <si>
    <t>0,18</t>
  </si>
  <si>
    <t>-2,44 %</t>
  </si>
  <si>
    <t>-2,61 %</t>
  </si>
  <si>
    <t>-3,85 %</t>
  </si>
  <si>
    <t>-3,43 %</t>
  </si>
  <si>
    <t>-4,72 %</t>
  </si>
  <si>
    <t>-0,15</t>
  </si>
  <si>
    <t>0,41</t>
  </si>
  <si>
    <t>0,14</t>
  </si>
  <si>
    <t>6,40 %</t>
  </si>
  <si>
    <t>7,20 %</t>
  </si>
  <si>
    <t>7,85 %</t>
  </si>
  <si>
    <t>0,03</t>
  </si>
  <si>
    <t>-0,02</t>
  </si>
  <si>
    <t>-0,50</t>
  </si>
  <si>
    <t>0,84</t>
  </si>
  <si>
    <t>0,88</t>
  </si>
  <si>
    <t>0,75</t>
  </si>
  <si>
    <t>0,83</t>
  </si>
  <si>
    <t>1,03</t>
  </si>
  <si>
    <t>1,00</t>
  </si>
  <si>
    <t>1,19</t>
  </si>
  <si>
    <t>1,09</t>
  </si>
  <si>
    <t>0,89</t>
  </si>
  <si>
    <t>0,90</t>
  </si>
  <si>
    <t>1,05</t>
  </si>
  <si>
    <t>62,35</t>
  </si>
  <si>
    <t>50,93</t>
  </si>
  <si>
    <t>60,22</t>
  </si>
  <si>
    <t>0,92</t>
  </si>
  <si>
    <t>1,31</t>
  </si>
  <si>
    <t>1,06</t>
  </si>
  <si>
    <t>1,29</t>
  </si>
  <si>
    <t>-0,40</t>
  </si>
  <si>
    <t>-0,17</t>
  </si>
  <si>
    <t>-1,25</t>
  </si>
  <si>
    <t>-0,12</t>
  </si>
  <si>
    <t>0,34</t>
  </si>
  <si>
    <t>5,60</t>
  </si>
  <si>
    <t>Mauvais</t>
  </si>
  <si>
    <t>0,22</t>
  </si>
  <si>
    <t>FCP</t>
  </si>
  <si>
    <t>Actif de la part en EUR au 22/06/2023</t>
  </si>
  <si>
    <t>23,39 M€</t>
  </si>
  <si>
    <t>0,88 %</t>
  </si>
  <si>
    <t>3,5 %</t>
  </si>
  <si>
    <t>1,8 %</t>
  </si>
  <si>
    <t>1,94 %</t>
  </si>
  <si>
    <t>-3,57 %</t>
  </si>
  <si>
    <t>-0,74 %</t>
  </si>
  <si>
    <t>2,86 %</t>
  </si>
  <si>
    <t>9,44 %</t>
  </si>
  <si>
    <t>4,13 %</t>
  </si>
  <si>
    <t>-6,43 %</t>
  </si>
  <si>
    <t>-5,23 %</t>
  </si>
  <si>
    <t>-4,87 %</t>
  </si>
  <si>
    <t>4,97 %</t>
  </si>
  <si>
    <t>11,96 %</t>
  </si>
  <si>
    <t>5,97 %</t>
  </si>
  <si>
    <t>-8,54 %</t>
  </si>
  <si>
    <t>-7,75 %</t>
  </si>
  <si>
    <t>-6,71 %</t>
  </si>
  <si>
    <t>14,79 %</t>
  </si>
  <si>
    <t>17,43 %</t>
  </si>
  <si>
    <t>18,56 %</t>
  </si>
  <si>
    <t>14,76 %</t>
  </si>
  <si>
    <t>14,78 %</t>
  </si>
  <si>
    <t>16,92 %</t>
  </si>
  <si>
    <t>15,77 %</t>
  </si>
  <si>
    <t>16,58 %</t>
  </si>
  <si>
    <t>18,61 %</t>
  </si>
  <si>
    <t>-16,74 %</t>
  </si>
  <si>
    <t>-27,55 %</t>
  </si>
  <si>
    <t>-34,32 %</t>
  </si>
  <si>
    <t>11,16 %</t>
  </si>
  <si>
    <t>12,20 %</t>
  </si>
  <si>
    <t>14,46 %</t>
  </si>
  <si>
    <t>-0,43</t>
  </si>
  <si>
    <t>-4,64 %</t>
  </si>
  <si>
    <t>-4,34 %</t>
  </si>
  <si>
    <t>-3,55 %</t>
  </si>
  <si>
    <t>-4,95 %</t>
  </si>
  <si>
    <t>-6,73 %</t>
  </si>
  <si>
    <t>-8,63 %</t>
  </si>
  <si>
    <t>-0,32</t>
  </si>
  <si>
    <t>-0,03</t>
  </si>
  <si>
    <t>4,66 %</t>
  </si>
  <si>
    <t>5,03 %</t>
  </si>
  <si>
    <t>4,85 %</t>
  </si>
  <si>
    <t>-1,83</t>
  </si>
  <si>
    <t>-1,54</t>
  </si>
  <si>
    <t>-1,38</t>
  </si>
  <si>
    <t>0,96</t>
  </si>
  <si>
    <t>1,15</t>
  </si>
  <si>
    <t>1,01</t>
  </si>
  <si>
    <t>91,29</t>
  </si>
  <si>
    <t>91,67</t>
  </si>
  <si>
    <t>93,31</t>
  </si>
  <si>
    <t>0,79</t>
  </si>
  <si>
    <t>0,94</t>
  </si>
  <si>
    <t>0,98</t>
  </si>
  <si>
    <t>-0,38</t>
  </si>
  <si>
    <t>-1,53</t>
  </si>
  <si>
    <t>0,46</t>
  </si>
  <si>
    <t>2,73</t>
  </si>
  <si>
    <t>10,42</t>
  </si>
  <si>
    <t>Très mauvais</t>
  </si>
  <si>
    <t>0,15</t>
  </si>
  <si>
    <t>63,25 M€</t>
  </si>
  <si>
    <t>17,52 %</t>
  </si>
  <si>
    <t>1,79 %</t>
  </si>
  <si>
    <t>26,63 %</t>
  </si>
  <si>
    <t>17,45 %</t>
  </si>
  <si>
    <t>6,32 %</t>
  </si>
  <si>
    <t>23,76 %</t>
  </si>
  <si>
    <t>8,01 %</t>
  </si>
  <si>
    <t>2,20 %</t>
  </si>
  <si>
    <t>21,66 %</t>
  </si>
  <si>
    <t>5,49 %</t>
  </si>
  <si>
    <t>0,35 %</t>
  </si>
  <si>
    <t>18,65 %</t>
  </si>
  <si>
    <t>19,00 %</t>
  </si>
  <si>
    <t>18,91 %</t>
  </si>
  <si>
    <t>-13,76 %</t>
  </si>
  <si>
    <t>-27,35 %</t>
  </si>
  <si>
    <t>-31,62 %</t>
  </si>
  <si>
    <t>11,24 %</t>
  </si>
  <si>
    <t>12,89 %</t>
  </si>
  <si>
    <t>13,82 %</t>
  </si>
  <si>
    <t>2,26</t>
  </si>
  <si>
    <t>0,47</t>
  </si>
  <si>
    <t>-4,19 %</t>
  </si>
  <si>
    <t>-4,57 %</t>
  </si>
  <si>
    <t>-7,16 %</t>
  </si>
  <si>
    <t>-8,98 %</t>
  </si>
  <si>
    <t>1,36</t>
  </si>
  <si>
    <t>10,13 %</t>
  </si>
  <si>
    <t>10,67 %</t>
  </si>
  <si>
    <t>2,29</t>
  </si>
  <si>
    <t>0,54</t>
  </si>
  <si>
    <t>1,21</t>
  </si>
  <si>
    <t>0,72</t>
  </si>
  <si>
    <t>0,86</t>
  </si>
  <si>
    <t>1,64</t>
  </si>
  <si>
    <t>1,18</t>
  </si>
  <si>
    <t>1,02</t>
  </si>
  <si>
    <t>0,97</t>
  </si>
  <si>
    <t>0,85</t>
  </si>
  <si>
    <t>74,38</t>
  </si>
  <si>
    <t>71,66</t>
  </si>
  <si>
    <t>70,30</t>
  </si>
  <si>
    <t>0,95</t>
  </si>
  <si>
    <t>1,11</t>
  </si>
  <si>
    <t>0,77</t>
  </si>
  <si>
    <t>-0,06</t>
  </si>
  <si>
    <t>-0,71</t>
  </si>
  <si>
    <t>-0,53</t>
  </si>
  <si>
    <t>1,23</t>
  </si>
  <si>
    <t>2,40</t>
  </si>
  <si>
    <t>0,64</t>
  </si>
  <si>
    <t>17,15 M€</t>
  </si>
  <si>
    <t>10,44 %</t>
  </si>
  <si>
    <t>2,4 %</t>
  </si>
  <si>
    <t>2,58 %</t>
  </si>
  <si>
    <t>1,85 %</t>
  </si>
  <si>
    <t>21,15 %</t>
  </si>
  <si>
    <t>5,22 %</t>
  </si>
  <si>
    <t>-1,01 %</t>
  </si>
  <si>
    <t>11,71 %</t>
  </si>
  <si>
    <t>1,09 %</t>
  </si>
  <si>
    <t>-3,12 %</t>
  </si>
  <si>
    <t>9,19 %</t>
  </si>
  <si>
    <t>-0,76 %</t>
  </si>
  <si>
    <t>21,59 %</t>
  </si>
  <si>
    <t>19,75 %</t>
  </si>
  <si>
    <t>23,83 %</t>
  </si>
  <si>
    <t>-18,72 %</t>
  </si>
  <si>
    <t>-43,04 %</t>
  </si>
  <si>
    <t>15,13 %</t>
  </si>
  <si>
    <t>13,08 %</t>
  </si>
  <si>
    <t>17,79 %</t>
  </si>
  <si>
    <t>0,04</t>
  </si>
  <si>
    <t>1,62</t>
  </si>
  <si>
    <t>0,30</t>
  </si>
  <si>
    <t>-5,53 %</t>
  </si>
  <si>
    <t>-4,63 %</t>
  </si>
  <si>
    <t>-8,07 %</t>
  </si>
  <si>
    <t>-7,25 %</t>
  </si>
  <si>
    <t>1,07</t>
  </si>
  <si>
    <t>0,23</t>
  </si>
  <si>
    <t>12,09 %</t>
  </si>
  <si>
    <t>13,46 %</t>
  </si>
  <si>
    <t>-0,26</t>
  </si>
  <si>
    <t>1,14</t>
  </si>
  <si>
    <t>0,99</t>
  </si>
  <si>
    <t>1,16</t>
  </si>
  <si>
    <t>1,12</t>
  </si>
  <si>
    <t>1,48</t>
  </si>
  <si>
    <t>69,72</t>
  </si>
  <si>
    <t>63,50</t>
  </si>
  <si>
    <t>68,29</t>
  </si>
  <si>
    <t>1,13</t>
  </si>
  <si>
    <t>1,10</t>
  </si>
  <si>
    <t>-0,24</t>
  </si>
  <si>
    <t>-1,40</t>
  </si>
  <si>
    <t>11,31</t>
  </si>
  <si>
    <t>329,04 M€</t>
  </si>
  <si>
    <t>2,09 %</t>
  </si>
  <si>
    <t>2,01 %</t>
  </si>
  <si>
    <t>-2,78 %</t>
  </si>
  <si>
    <t>18,98 %</t>
  </si>
  <si>
    <t>-5,65 %</t>
  </si>
  <si>
    <t>9,54 %</t>
  </si>
  <si>
    <t>-7,76 %</t>
  </si>
  <si>
    <t>7,02 %</t>
  </si>
  <si>
    <t>21,01 %</t>
  </si>
  <si>
    <t>20,35 %</t>
  </si>
  <si>
    <t>-23,21 %</t>
  </si>
  <si>
    <t>-34,07 %</t>
  </si>
  <si>
    <t>15,21 %</t>
  </si>
  <si>
    <t>13,40 %</t>
  </si>
  <si>
    <t>-5,30 %</t>
  </si>
  <si>
    <t>-4,10 %</t>
  </si>
  <si>
    <t>-6,96 %</t>
  </si>
  <si>
    <t>-0,19</t>
  </si>
  <si>
    <t>11,54 %</t>
  </si>
  <si>
    <t>11,69 %</t>
  </si>
  <si>
    <t>-0,67</t>
  </si>
  <si>
    <t>0,60</t>
  </si>
  <si>
    <t>1,45</t>
  </si>
  <si>
    <t>70,60</t>
  </si>
  <si>
    <t>67,01</t>
  </si>
  <si>
    <t>1,25</t>
  </si>
  <si>
    <t>1,17</t>
  </si>
  <si>
    <t>-0,29</t>
  </si>
  <si>
    <t>-0,14</t>
  </si>
  <si>
    <t>0,56</t>
  </si>
  <si>
    <t>Distribution</t>
  </si>
  <si>
    <t>12,04 M€</t>
  </si>
  <si>
    <t>15,09 %</t>
  </si>
  <si>
    <t>2,38 %</t>
  </si>
  <si>
    <t>-11,43 %</t>
  </si>
  <si>
    <t>5,61 %</t>
  </si>
  <si>
    <t>0,95 %</t>
  </si>
  <si>
    <t>-14,29 %</t>
  </si>
  <si>
    <t>-3,83 %</t>
  </si>
  <si>
    <t>-3,17 %</t>
  </si>
  <si>
    <t>-16,40 %</t>
  </si>
  <si>
    <t>-6,35 %</t>
  </si>
  <si>
    <t>-5,02 %</t>
  </si>
  <si>
    <t>23,24 %</t>
  </si>
  <si>
    <t>19,36 %</t>
  </si>
  <si>
    <t>19,64 %</t>
  </si>
  <si>
    <t>-24,14 %</t>
  </si>
  <si>
    <t>-30,63 %</t>
  </si>
  <si>
    <t>-32,93 %</t>
  </si>
  <si>
    <t>16,46 %</t>
  </si>
  <si>
    <t>13,15 %</t>
  </si>
  <si>
    <t>14,52 %</t>
  </si>
  <si>
    <t>-0,77</t>
  </si>
  <si>
    <t>0,43</t>
  </si>
  <si>
    <t>0,08</t>
  </si>
  <si>
    <t>-4,86 %</t>
  </si>
  <si>
    <t>-4,61 %</t>
  </si>
  <si>
    <t>-3,90 %</t>
  </si>
  <si>
    <t>-8,45 %</t>
  </si>
  <si>
    <t>-8,04 %</t>
  </si>
  <si>
    <t>-0,54</t>
  </si>
  <si>
    <t>0,29</t>
  </si>
  <si>
    <t>0,06</t>
  </si>
  <si>
    <t>15,12 %</t>
  </si>
  <si>
    <t>10,87 %</t>
  </si>
  <si>
    <t>9,60 %</t>
  </si>
  <si>
    <t>-1,08</t>
  </si>
  <si>
    <t>-0,58</t>
  </si>
  <si>
    <t>1,33</t>
  </si>
  <si>
    <t>58,43</t>
  </si>
  <si>
    <t>68,56</t>
  </si>
  <si>
    <t>76,64</t>
  </si>
  <si>
    <t>1,28</t>
  </si>
  <si>
    <t>0,07</t>
  </si>
  <si>
    <t>-0,73</t>
  </si>
  <si>
    <t>1,86</t>
  </si>
  <si>
    <t>1,82</t>
  </si>
  <si>
    <t>5,40</t>
  </si>
  <si>
    <t>12,05 M€</t>
  </si>
  <si>
    <t>-9,00 %</t>
  </si>
  <si>
    <t>2,25 %</t>
  </si>
  <si>
    <t>2,66 %</t>
  </si>
  <si>
    <t>0,74 %</t>
  </si>
  <si>
    <t>14,70 %</t>
  </si>
  <si>
    <t>1,93 %</t>
  </si>
  <si>
    <t>-2,12 %</t>
  </si>
  <si>
    <t>5,26 %</t>
  </si>
  <si>
    <t>-2,20 %</t>
  </si>
  <si>
    <t>-4,23 %</t>
  </si>
  <si>
    <t>2,73 %</t>
  </si>
  <si>
    <t>-4,05 %</t>
  </si>
  <si>
    <t>16,04 %</t>
  </si>
  <si>
    <t>18,42 %</t>
  </si>
  <si>
    <t>20,15 %</t>
  </si>
  <si>
    <t>-20,21 %</t>
  </si>
  <si>
    <t>-25,35 %</t>
  </si>
  <si>
    <t>-42,03 %</t>
  </si>
  <si>
    <t>11,73 %</t>
  </si>
  <si>
    <t>11,83 %</t>
  </si>
  <si>
    <t>15,07 %</t>
  </si>
  <si>
    <t>1,24</t>
  </si>
  <si>
    <t>-4,04 %</t>
  </si>
  <si>
    <t>-5,56 %</t>
  </si>
  <si>
    <t>-6,70 %</t>
  </si>
  <si>
    <t>-8,94 %</t>
  </si>
  <si>
    <t>0,11</t>
  </si>
  <si>
    <t>9,22 %</t>
  </si>
  <si>
    <t>10,76 %</t>
  </si>
  <si>
    <t>10,14 %</t>
  </si>
  <si>
    <t>-0,46</t>
  </si>
  <si>
    <t>0,25</t>
  </si>
  <si>
    <t>1,40</t>
  </si>
  <si>
    <t>69,25</t>
  </si>
  <si>
    <t>66,59</t>
  </si>
  <si>
    <t>75,03</t>
  </si>
  <si>
    <t>-0,27</t>
  </si>
  <si>
    <t>-1,04</t>
  </si>
  <si>
    <t>0,36</t>
  </si>
  <si>
    <t>3,17</t>
  </si>
  <si>
    <t>7,60</t>
  </si>
  <si>
    <t>0,58</t>
  </si>
  <si>
    <t>Actif de la part en EUR au 23/06/2023</t>
  </si>
  <si>
    <t>16,60 M€</t>
  </si>
  <si>
    <t>10,25 %</t>
  </si>
  <si>
    <t>1,5 %</t>
  </si>
  <si>
    <t>-0,25 %</t>
  </si>
  <si>
    <t>12,92 %</t>
  </si>
  <si>
    <t>4,33 %</t>
  </si>
  <si>
    <t>-3,11 %</t>
  </si>
  <si>
    <t>3,48 %</t>
  </si>
  <si>
    <t>0,20 %</t>
  </si>
  <si>
    <t>-5,22 %</t>
  </si>
  <si>
    <t>0,96 %</t>
  </si>
  <si>
    <t>-1,64 %</t>
  </si>
  <si>
    <t>16,62 %</t>
  </si>
  <si>
    <t>17,84 %</t>
  </si>
  <si>
    <t>20,04 %</t>
  </si>
  <si>
    <t>-18,15 %</t>
  </si>
  <si>
    <t>-23,57 %</t>
  </si>
  <si>
    <t>-36,74 %</t>
  </si>
  <si>
    <t>12,10 %</t>
  </si>
  <si>
    <t>11,95 %</t>
  </si>
  <si>
    <t>14,98 %</t>
  </si>
  <si>
    <t>1,08</t>
  </si>
  <si>
    <t>-4,00 %</t>
  </si>
  <si>
    <t>-3,88 %</t>
  </si>
  <si>
    <t>-3,97 %</t>
  </si>
  <si>
    <t>-6,26 %</t>
  </si>
  <si>
    <t>-6,79 %</t>
  </si>
  <si>
    <t>-9,46 %</t>
  </si>
  <si>
    <t>7,35 %</t>
  </si>
  <si>
    <t>7,03 %</t>
  </si>
  <si>
    <t>-0,68</t>
  </si>
  <si>
    <t>0,13</t>
  </si>
  <si>
    <t>-0,23</t>
  </si>
  <si>
    <t>1,37</t>
  </si>
  <si>
    <t>79,31</t>
  </si>
  <si>
    <t>83,07</t>
  </si>
  <si>
    <t>87,70</t>
  </si>
  <si>
    <t>-0,11</t>
  </si>
  <si>
    <t>-1,35</t>
  </si>
  <si>
    <t>3,20</t>
  </si>
  <si>
    <t>10,56</t>
  </si>
  <si>
    <t>0,55</t>
  </si>
  <si>
    <t>67,05 M€</t>
  </si>
  <si>
    <t>4,17 %</t>
  </si>
  <si>
    <t>1,7 %</t>
  </si>
  <si>
    <r>
      <t>21 Gestion Active - </t>
    </r>
    <r>
      <rPr>
        <sz val="9.35"/>
        <color rgb="FFFF0000"/>
        <rFont val="Arial"/>
        <family val="2"/>
      </rPr>
      <t>FR0010342600</t>
    </r>
  </si>
  <si>
    <r>
      <t>29 Haussmann Actions Europe C - </t>
    </r>
    <r>
      <rPr>
        <sz val="9.35"/>
        <color rgb="FFFF0000"/>
        <rFont val="Arial"/>
        <family val="2"/>
      </rPr>
      <t>FR0011443225</t>
    </r>
    <r>
      <rPr>
        <b/>
        <sz val="9"/>
        <color rgb="FFFF0000"/>
        <rFont val="Arial"/>
        <family val="2"/>
      </rPr>
      <t> </t>
    </r>
  </si>
  <si>
    <r>
      <t>Montbleu Étoiles C - </t>
    </r>
    <r>
      <rPr>
        <sz val="9.35"/>
        <color rgb="FFFF0000"/>
        <rFont val="Arial"/>
        <family val="2"/>
      </rPr>
      <t>FR0010591123</t>
    </r>
    <r>
      <rPr>
        <b/>
        <sz val="9"/>
        <color rgb="FFFF0000"/>
        <rFont val="Arial"/>
        <family val="2"/>
      </rPr>
      <t> </t>
    </r>
  </si>
  <si>
    <r>
      <t>Magallanes VIU European Equity R EUR Acc - </t>
    </r>
    <r>
      <rPr>
        <sz val="9.35"/>
        <color rgb="FFFF0000"/>
        <rFont val="Arial"/>
        <family val="2"/>
      </rPr>
      <t>LU1330191542</t>
    </r>
  </si>
  <si>
    <r>
      <t>Lemanik European Special Sits Dis I EUR - </t>
    </r>
    <r>
      <rPr>
        <sz val="9.35"/>
        <color rgb="FFFF0000"/>
        <rFont val="Arial"/>
        <family val="2"/>
      </rPr>
      <t>LU0519144900</t>
    </r>
  </si>
  <si>
    <r>
      <t> iMGP Funds Sustainable Europe N EUR 2 - </t>
    </r>
    <r>
      <rPr>
        <sz val="9.35"/>
        <color rgb="FFFF0000"/>
        <rFont val="Arial"/>
        <family val="2"/>
      </rPr>
      <t>LU0133194562</t>
    </r>
  </si>
  <si>
    <r>
      <t>SISF European Sust Value A Acc EUR - </t>
    </r>
    <r>
      <rPr>
        <sz val="9.35"/>
        <color rgb="FFFF0000"/>
        <rFont val="Arial"/>
        <family val="2"/>
      </rPr>
      <t>LU0106236267</t>
    </r>
  </si>
  <si>
    <r>
      <t>ABN AMRO Edentree European Sust Eq A - </t>
    </r>
    <r>
      <rPr>
        <sz val="9.35"/>
        <color rgb="FFFF0000"/>
        <rFont val="Arial"/>
        <family val="2"/>
      </rPr>
      <t>LU1481504865</t>
    </r>
  </si>
  <si>
    <t>Analse des indicateurs/Faut t-il investir ?</t>
  </si>
  <si>
    <t>21 Gestion Active - FR0010342600</t>
  </si>
  <si>
    <t>29 Haussmann Actions Europe C - FR0011443225 </t>
  </si>
  <si>
    <t>Montbleu Étoiles C - FR0010591123 </t>
  </si>
  <si>
    <t>Magallanes VIU European Equity R EUR Acc - LU1330191542</t>
  </si>
  <si>
    <t>Lemanik European Special Sits Dis I EUR - LU0519144900</t>
  </si>
  <si>
    <t>SISF European Sust Value A Acc EUR - LU0106236267</t>
  </si>
  <si>
    <t>ABN AMRO Edentree European Sust Eq A - LU1481504865</t>
  </si>
  <si>
    <t>iMGP Funds Sustainable Europe N EUR 2 - LU0133194562</t>
  </si>
  <si>
    <t>Quelle est la notation ?</t>
  </si>
  <si>
    <t>OPCVM</t>
  </si>
  <si>
    <t>Notes</t>
  </si>
  <si>
    <t>Primonial Capimmo - FR0014004GX5</t>
  </si>
  <si>
    <t>Perf. Annualisé </t>
  </si>
  <si>
    <t xml:space="preserve">2,67 %	</t>
  </si>
  <si>
    <t xml:space="preserve">4,21 %	</t>
  </si>
  <si>
    <t xml:space="preserve">21,15 %	</t>
  </si>
  <si>
    <t xml:space="preserve">14,70 %	</t>
  </si>
  <si>
    <t xml:space="preserve">18,98 %	</t>
  </si>
  <si>
    <t xml:space="preserve">17,45 %	</t>
  </si>
  <si>
    <t>Très Mauvais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</si>
</sst>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66CC"/>
      <name val="Arial"/>
      <family val="2"/>
    </font>
    <font>
      <sz val="8"/>
      <color rgb="FF000000"/>
      <name val="Arial"/>
      <family val="2"/>
    </font>
    <font>
      <b/>
      <sz val="7"/>
      <color theme="1"/>
      <name val="Arial"/>
      <family val="2"/>
    </font>
    <font>
      <sz val="7"/>
      <color rgb="FF0066CC"/>
      <name val="Arial"/>
      <family val="2"/>
    </font>
    <font>
      <b/>
      <sz val="7"/>
      <color rgb="FF0066CC"/>
      <name val="Arial"/>
      <family val="2"/>
    </font>
    <font>
      <sz val="7"/>
      <color theme="1"/>
      <name val="Arial"/>
      <family val="2"/>
    </font>
    <font>
      <b/>
      <sz val="7"/>
      <color rgb="FFA94442"/>
      <name val="Arial"/>
      <family val="2"/>
    </font>
    <font>
      <b/>
      <sz val="7"/>
      <color rgb="FF3C763D"/>
      <name val="Arial"/>
      <family val="2"/>
    </font>
    <font>
      <b/>
      <sz val="7"/>
      <color rgb="FFC00000"/>
      <name val="Arial"/>
      <family val="2"/>
    </font>
    <font>
      <sz val="11"/>
      <color rgb="FFFF0000"/>
      <name val="Calibri"/>
      <family val="2"/>
      <scheme val="minor"/>
    </font>
    <font>
      <b/>
      <sz val="6"/>
      <color theme="1"/>
      <name val="Arial"/>
      <family val="2"/>
    </font>
    <font>
      <sz val="6"/>
      <color rgb="FF0066CC"/>
      <name val="Arial"/>
      <family val="2"/>
    </font>
    <font>
      <b/>
      <sz val="6"/>
      <color rgb="FF0066CC"/>
      <name val="Arial"/>
      <family val="2"/>
    </font>
    <font>
      <b/>
      <sz val="8"/>
      <color rgb="FFFF0000"/>
      <name val="Arial"/>
      <family val="2"/>
    </font>
    <font>
      <sz val="6"/>
      <color rgb="FF000000"/>
      <name val="Arial"/>
      <family val="2"/>
    </font>
    <font>
      <b/>
      <sz val="6"/>
      <color rgb="FFFF0000"/>
      <name val="Arial"/>
      <family val="2"/>
    </font>
    <font>
      <b/>
      <sz val="9"/>
      <color rgb="FFFF0000"/>
      <name val="Arial"/>
      <family val="2"/>
    </font>
    <font>
      <sz val="9.35"/>
      <color rgb="FFFF0000"/>
      <name val="Arial"/>
      <family val="2"/>
    </font>
    <font>
      <b/>
      <sz val="7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6"/>
      <color rgb="FF000000"/>
      <name val="Arial"/>
      <family val="2"/>
    </font>
    <font>
      <b/>
      <sz val="6"/>
      <color rgb="FFA94442"/>
      <name val="Arial"/>
      <family val="2"/>
    </font>
    <font>
      <b/>
      <sz val="6"/>
      <color rgb="FF3C763D"/>
      <name val="Arial"/>
      <family val="2"/>
    </font>
    <font>
      <b/>
      <i/>
      <u/>
      <sz val="14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4" fillId="3" borderId="1" xfId="0" applyFont="1" applyFill="1" applyBorder="1" applyAlignment="1">
      <alignment horizontal="left" vertical="center"/>
    </xf>
    <xf numFmtId="10" fontId="4" fillId="3" borderId="1" xfId="0" applyNumberFormat="1" applyFont="1" applyFill="1" applyBorder="1" applyAlignment="1">
      <alignment horizontal="right" vertical="center"/>
    </xf>
    <xf numFmtId="10" fontId="8" fillId="3" borderId="1" xfId="0" applyNumberFormat="1" applyFont="1" applyFill="1" applyBorder="1" applyAlignment="1">
      <alignment horizontal="right" vertical="center"/>
    </xf>
    <xf numFmtId="10" fontId="9" fillId="3" borderId="1" xfId="0" applyNumberFormat="1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righ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righ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right" vertical="center"/>
    </xf>
    <xf numFmtId="0" fontId="7" fillId="0" borderId="0" xfId="0" applyFont="1" applyAlignment="1">
      <alignment vertical="center" wrapText="1"/>
    </xf>
    <xf numFmtId="0" fontId="5" fillId="0" borderId="0" xfId="0" applyFont="1" applyAlignment="1">
      <alignment horizontal="right" vertical="center" wrapText="1"/>
    </xf>
    <xf numFmtId="10" fontId="5" fillId="0" borderId="0" xfId="0" applyNumberFormat="1" applyFont="1" applyAlignment="1">
      <alignment horizontal="right" vertical="center" wrapText="1"/>
    </xf>
    <xf numFmtId="9" fontId="5" fillId="0" borderId="0" xfId="0" applyNumberFormat="1" applyFont="1" applyAlignment="1">
      <alignment horizontal="right" vertical="center" wrapText="1"/>
    </xf>
    <xf numFmtId="0" fontId="0" fillId="2" borderId="0" xfId="0" applyFill="1"/>
    <xf numFmtId="0" fontId="3" fillId="2" borderId="0" xfId="0" applyFont="1" applyFill="1" applyAlignment="1">
      <alignment horizontal="left" vertical="center" wrapText="1" indent="1"/>
    </xf>
    <xf numFmtId="0" fontId="7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1" fillId="2" borderId="0" xfId="0" applyFont="1" applyFill="1"/>
    <xf numFmtId="10" fontId="4" fillId="3" borderId="2" xfId="0" applyNumberFormat="1" applyFont="1" applyFill="1" applyBorder="1" applyAlignment="1">
      <alignment horizontal="right" vertical="center"/>
    </xf>
    <xf numFmtId="0" fontId="4" fillId="3" borderId="1" xfId="0" applyFont="1" applyFill="1" applyBorder="1" applyAlignment="1">
      <alignment vertical="center"/>
    </xf>
    <xf numFmtId="10" fontId="6" fillId="3" borderId="1" xfId="0" applyNumberFormat="1" applyFont="1" applyFill="1" applyBorder="1" applyAlignment="1">
      <alignment horizontal="right" vertical="center"/>
    </xf>
    <xf numFmtId="0" fontId="6" fillId="3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right" vertical="center"/>
    </xf>
    <xf numFmtId="0" fontId="4" fillId="3" borderId="1" xfId="0" applyFont="1" applyFill="1" applyBorder="1" applyAlignment="1">
      <alignment vertical="center" wrapText="1"/>
    </xf>
    <xf numFmtId="0" fontId="6" fillId="3" borderId="1" xfId="0" applyFont="1" applyFill="1" applyBorder="1" applyAlignment="1">
      <alignment horizontal="right" vertical="center" wrapText="1"/>
    </xf>
    <xf numFmtId="10" fontId="6" fillId="3" borderId="1" xfId="0" applyNumberFormat="1" applyFont="1" applyFill="1" applyBorder="1" applyAlignment="1">
      <alignment horizontal="right" vertical="center" wrapText="1"/>
    </xf>
    <xf numFmtId="9" fontId="6" fillId="3" borderId="1" xfId="0" applyNumberFormat="1" applyFont="1" applyFill="1" applyBorder="1" applyAlignment="1">
      <alignment horizontal="right" vertical="center" wrapText="1"/>
    </xf>
    <xf numFmtId="0" fontId="4" fillId="3" borderId="2" xfId="0" applyFont="1" applyFill="1" applyBorder="1" applyAlignment="1">
      <alignment vertical="center"/>
    </xf>
    <xf numFmtId="0" fontId="5" fillId="0" borderId="0" xfId="0" applyFont="1" applyAlignment="1">
      <alignment horizontal="left" vertical="center" wrapText="1" indent="15"/>
    </xf>
    <xf numFmtId="0" fontId="16" fillId="0" borderId="0" xfId="0" applyFont="1" applyAlignment="1">
      <alignment vertical="center"/>
    </xf>
    <xf numFmtId="0" fontId="11" fillId="0" borderId="0" xfId="0" applyFont="1"/>
    <xf numFmtId="0" fontId="20" fillId="2" borderId="3" xfId="0" applyFont="1" applyFill="1" applyBorder="1" applyAlignment="1">
      <alignment horizontal="right" vertical="center"/>
    </xf>
    <xf numFmtId="0" fontId="20" fillId="2" borderId="3" xfId="0" applyFont="1" applyFill="1" applyBorder="1" applyAlignment="1">
      <alignment horizontal="center" vertical="center"/>
    </xf>
    <xf numFmtId="0" fontId="11" fillId="2" borderId="0" xfId="0" applyFont="1" applyFill="1"/>
    <xf numFmtId="0" fontId="17" fillId="2" borderId="1" xfId="0" applyFont="1" applyFill="1" applyBorder="1" applyAlignment="1">
      <alignment horizontal="center" vertical="center"/>
    </xf>
    <xf numFmtId="0" fontId="21" fillId="2" borderId="1" xfId="0" applyFont="1" applyFill="1" applyBorder="1"/>
    <xf numFmtId="0" fontId="22" fillId="3" borderId="1" xfId="0" applyFont="1" applyFill="1" applyBorder="1" applyAlignment="1">
      <alignment horizontal="left" vertical="center"/>
    </xf>
    <xf numFmtId="0" fontId="22" fillId="3" borderId="1" xfId="0" applyFont="1" applyFill="1" applyBorder="1" applyAlignment="1">
      <alignment horizontal="center" vertical="center"/>
    </xf>
    <xf numFmtId="0" fontId="23" fillId="3" borderId="1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right" vertical="center"/>
    </xf>
    <xf numFmtId="0" fontId="12" fillId="3" borderId="1" xfId="0" applyFont="1" applyFill="1" applyBorder="1" applyAlignment="1">
      <alignment vertical="center"/>
    </xf>
    <xf numFmtId="0" fontId="14" fillId="3" borderId="1" xfId="0" applyFont="1" applyFill="1" applyBorder="1" applyAlignment="1">
      <alignment horizontal="right" vertical="center"/>
    </xf>
    <xf numFmtId="0" fontId="14" fillId="3" borderId="1" xfId="0" applyFont="1" applyFill="1" applyBorder="1" applyAlignment="1">
      <alignment vertical="center"/>
    </xf>
    <xf numFmtId="0" fontId="12" fillId="3" borderId="1" xfId="0" applyFont="1" applyFill="1" applyBorder="1" applyAlignment="1">
      <alignment horizontal="right" vertical="center"/>
    </xf>
    <xf numFmtId="0" fontId="7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right" vertical="center" wrapText="1"/>
    </xf>
    <xf numFmtId="0" fontId="26" fillId="5" borderId="13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vertical="center" wrapText="1"/>
    </xf>
    <xf numFmtId="0" fontId="4" fillId="3" borderId="6" xfId="0" applyFont="1" applyFill="1" applyBorder="1" applyAlignment="1">
      <alignment vertical="center" wrapText="1"/>
    </xf>
    <xf numFmtId="0" fontId="18" fillId="4" borderId="0" xfId="0" applyFont="1" applyFill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9" xfId="0" applyFont="1" applyFill="1" applyBorder="1" applyAlignment="1">
      <alignment horizontal="center" vertical="center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10" fillId="4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left" vertical="center"/>
    </xf>
    <xf numFmtId="0" fontId="12" fillId="3" borderId="6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center" vertical="center" wrapText="1"/>
    </xf>
    <xf numFmtId="0" fontId="14" fillId="2" borderId="4" xfId="0" applyFont="1" applyFill="1" applyBorder="1" applyAlignment="1">
      <alignment horizontal="center" vertical="center"/>
    </xf>
    <xf numFmtId="0" fontId="14" fillId="2" borderId="5" xfId="0" applyFont="1" applyFill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 wrapText="1"/>
    </xf>
    <xf numFmtId="0" fontId="4" fillId="3" borderId="4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15" fillId="4" borderId="7" xfId="0" applyFont="1" applyFill="1" applyBorder="1" applyAlignment="1">
      <alignment horizontal="center" vertical="center" wrapText="1"/>
    </xf>
    <xf numFmtId="0" fontId="15" fillId="4" borderId="8" xfId="0" applyFont="1" applyFill="1" applyBorder="1" applyAlignment="1">
      <alignment horizontal="center" vertical="center" wrapText="1"/>
    </xf>
    <xf numFmtId="0" fontId="15" fillId="4" borderId="9" xfId="0" applyFont="1" applyFill="1" applyBorder="1" applyAlignment="1">
      <alignment horizontal="center" vertical="center" wrapText="1"/>
    </xf>
    <xf numFmtId="0" fontId="15" fillId="4" borderId="10" xfId="0" applyFont="1" applyFill="1" applyBorder="1" applyAlignment="1">
      <alignment horizontal="center" vertical="center" wrapText="1"/>
    </xf>
    <xf numFmtId="0" fontId="15" fillId="4" borderId="11" xfId="0" applyFont="1" applyFill="1" applyBorder="1" applyAlignment="1">
      <alignment horizontal="center" vertical="center" wrapText="1"/>
    </xf>
    <xf numFmtId="0" fontId="15" fillId="4" borderId="12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50800</xdr:colOff>
      <xdr:row>5</xdr:row>
      <xdr:rowOff>121920</xdr:rowOff>
    </xdr:from>
    <xdr:to>
      <xdr:col>10</xdr:col>
      <xdr:colOff>487680</xdr:colOff>
      <xdr:row>9</xdr:row>
      <xdr:rowOff>74400</xdr:rowOff>
    </xdr:to>
    <xdr:sp macro="[0]!TransférerTableaux" textlink="">
      <xdr:nvSpPr>
        <xdr:cNvPr id="2" name="Oval 1">
          <a:extLst>
            <a:ext uri="{FF2B5EF4-FFF2-40B4-BE49-F238E27FC236}">
              <a16:creationId xmlns:a16="http://schemas.microsoft.com/office/drawing/2014/main" id="{B3EE47AF-6788-2E3E-A54D-27A5218BE091}"/>
            </a:ext>
          </a:extLst>
        </xdr:cNvPr>
        <xdr:cNvSpPr/>
      </xdr:nvSpPr>
      <xdr:spPr>
        <a:xfrm>
          <a:off x="5537200" y="1036320"/>
          <a:ext cx="1046480" cy="684000"/>
        </a:xfrm>
        <a:prstGeom prst="ellipse">
          <a:avLst/>
        </a:prstGeom>
        <a:ln w="28575">
          <a:solidFill>
            <a:srgbClr val="C0000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ln>
                <a:solidFill>
                  <a:schemeClr val="tx1"/>
                </a:solidFill>
              </a:ln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OPCVM</a:t>
          </a:r>
        </a:p>
        <a:p>
          <a:pPr algn="l"/>
          <a:endParaRPr lang="fr-FR" sz="1100"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E33794-6BD9-4F3F-8D72-AE1D686ED3FE}" name="TableValeur" displayName="TableValeur" ref="U49:V57" totalsRowShown="0">
  <autoFilter ref="U49:V57" xr:uid="{0BE33794-6BD9-4F3F-8D72-AE1D686ED3FE}"/>
  <tableColumns count="2">
    <tableColumn id="1" xr3:uid="{2AAD38BF-47A0-458B-914B-33BCD89E13F4}" name="OPCVM"/>
    <tableColumn id="2" xr3:uid="{85292B71-9456-41C6-BDB4-C4D839769C6F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CS61"/>
  <sheetViews>
    <sheetView tabSelected="1" topLeftCell="A46" zoomScale="80" workbookViewId="0">
      <selection activeCell="R46" sqref="R46"/>
    </sheetView>
  </sheetViews>
  <sheetFormatPr defaultRowHeight="14.5" x14ac:dyDescent="0.35"/>
  <cols>
    <col min="12" max="12" width="10.90625" customWidth="1"/>
    <col min="21" max="21" width="53" bestFit="1" customWidth="1"/>
    <col min="25" max="25" width="10.08984375" customWidth="1"/>
  </cols>
  <sheetData>
    <row r="2" spans="1:97" ht="14.4" customHeight="1" x14ac:dyDescent="0.35">
      <c r="A2" s="70" t="s">
        <v>138</v>
      </c>
      <c r="B2" s="70"/>
      <c r="C2" s="70"/>
      <c r="D2" s="70"/>
      <c r="E2" s="70"/>
      <c r="F2" s="70"/>
      <c r="G2" s="70"/>
      <c r="H2" s="70"/>
      <c r="I2" s="70"/>
      <c r="L2" s="58" t="s">
        <v>553</v>
      </c>
      <c r="M2" s="58"/>
      <c r="N2" s="58"/>
      <c r="O2" s="58"/>
      <c r="P2" s="58"/>
      <c r="Q2" s="58"/>
      <c r="R2" s="58"/>
      <c r="S2" s="58"/>
      <c r="T2" s="58"/>
      <c r="W2" s="58" t="s">
        <v>554</v>
      </c>
      <c r="X2" s="58"/>
      <c r="Y2" s="58"/>
      <c r="Z2" s="58"/>
      <c r="AA2" s="58"/>
      <c r="AB2" s="58"/>
      <c r="AC2" s="58"/>
      <c r="AD2" s="58"/>
      <c r="AE2" s="58"/>
      <c r="AH2" s="58" t="s">
        <v>555</v>
      </c>
      <c r="AI2" s="58"/>
      <c r="AJ2" s="58"/>
      <c r="AK2" s="58"/>
      <c r="AL2" s="58"/>
      <c r="AM2" s="58"/>
      <c r="AN2" s="58"/>
      <c r="AO2" s="58"/>
      <c r="AP2" s="58"/>
      <c r="AS2" s="58" t="s">
        <v>556</v>
      </c>
      <c r="AT2" s="58"/>
      <c r="AU2" s="58"/>
      <c r="AV2" s="58"/>
      <c r="AW2" s="58"/>
      <c r="AX2" s="58"/>
      <c r="AY2" s="58"/>
      <c r="AZ2" s="58"/>
      <c r="BA2" s="58"/>
      <c r="BD2" s="58" t="s">
        <v>557</v>
      </c>
      <c r="BE2" s="58"/>
      <c r="BF2" s="58"/>
      <c r="BG2" s="58"/>
      <c r="BH2" s="58"/>
      <c r="BI2" s="58"/>
      <c r="BJ2" s="58"/>
      <c r="BK2" s="58"/>
      <c r="BL2" s="58"/>
      <c r="BO2" s="58" t="s">
        <v>558</v>
      </c>
      <c r="BP2" s="58"/>
      <c r="BQ2" s="58"/>
      <c r="BR2" s="58"/>
      <c r="BS2" s="58"/>
      <c r="BT2" s="58"/>
      <c r="BU2" s="58"/>
      <c r="BV2" s="58"/>
      <c r="BW2" s="58"/>
      <c r="BZ2" s="58" t="s">
        <v>559</v>
      </c>
      <c r="CA2" s="58"/>
      <c r="CB2" s="58"/>
      <c r="CC2" s="58"/>
      <c r="CD2" s="58"/>
      <c r="CE2" s="58"/>
      <c r="CF2" s="58"/>
      <c r="CG2" s="58"/>
      <c r="CH2" s="58"/>
      <c r="CK2" s="58" t="s">
        <v>560</v>
      </c>
      <c r="CL2" s="58"/>
      <c r="CM2" s="58"/>
      <c r="CN2" s="58"/>
      <c r="CO2" s="58"/>
      <c r="CP2" s="58"/>
      <c r="CQ2" s="58"/>
      <c r="CR2" s="58"/>
      <c r="CS2" s="58"/>
    </row>
    <row r="3" spans="1:97" x14ac:dyDescent="0.35">
      <c r="A3" s="70"/>
      <c r="B3" s="70"/>
      <c r="C3" s="70"/>
      <c r="D3" s="70"/>
      <c r="E3" s="70"/>
      <c r="F3" s="70"/>
      <c r="G3" s="70"/>
      <c r="H3" s="70"/>
      <c r="I3" s="70"/>
      <c r="L3" s="58"/>
      <c r="M3" s="58"/>
      <c r="N3" s="58"/>
      <c r="O3" s="58"/>
      <c r="P3" s="58"/>
      <c r="Q3" s="58"/>
      <c r="R3" s="58"/>
      <c r="S3" s="58"/>
      <c r="T3" s="58"/>
      <c r="W3" s="58"/>
      <c r="X3" s="58"/>
      <c r="Y3" s="58"/>
      <c r="Z3" s="58"/>
      <c r="AA3" s="58"/>
      <c r="AB3" s="58"/>
      <c r="AC3" s="58"/>
      <c r="AD3" s="58"/>
      <c r="AE3" s="58"/>
      <c r="AH3" s="58"/>
      <c r="AI3" s="58"/>
      <c r="AJ3" s="58"/>
      <c r="AK3" s="58"/>
      <c r="AL3" s="58"/>
      <c r="AM3" s="58"/>
      <c r="AN3" s="58"/>
      <c r="AO3" s="58"/>
      <c r="AP3" s="58"/>
      <c r="AS3" s="58"/>
      <c r="AT3" s="58"/>
      <c r="AU3" s="58"/>
      <c r="AV3" s="58"/>
      <c r="AW3" s="58"/>
      <c r="AX3" s="58"/>
      <c r="AY3" s="58"/>
      <c r="AZ3" s="58"/>
      <c r="BA3" s="58"/>
      <c r="BD3" s="58"/>
      <c r="BE3" s="58"/>
      <c r="BF3" s="58"/>
      <c r="BG3" s="58"/>
      <c r="BH3" s="58"/>
      <c r="BI3" s="58"/>
      <c r="BJ3" s="58"/>
      <c r="BK3" s="58"/>
      <c r="BL3" s="58"/>
      <c r="BO3" s="58"/>
      <c r="BP3" s="58"/>
      <c r="BQ3" s="58"/>
      <c r="BR3" s="58"/>
      <c r="BS3" s="58"/>
      <c r="BT3" s="58"/>
      <c r="BU3" s="58"/>
      <c r="BV3" s="58"/>
      <c r="BW3" s="58"/>
      <c r="BZ3" s="58"/>
      <c r="CA3" s="58"/>
      <c r="CB3" s="58"/>
      <c r="CC3" s="58"/>
      <c r="CD3" s="58"/>
      <c r="CE3" s="58"/>
      <c r="CF3" s="58"/>
      <c r="CG3" s="58"/>
      <c r="CH3" s="58"/>
      <c r="CK3" s="58"/>
      <c r="CL3" s="58"/>
      <c r="CM3" s="58"/>
      <c r="CN3" s="58"/>
      <c r="CO3" s="58"/>
      <c r="CP3" s="58"/>
      <c r="CQ3" s="58"/>
      <c r="CR3" s="58"/>
      <c r="CS3" s="58"/>
    </row>
    <row r="4" spans="1:97" x14ac:dyDescent="0.35">
      <c r="A4" s="35" t="s">
        <v>0</v>
      </c>
      <c r="B4" s="35" t="s">
        <v>1</v>
      </c>
      <c r="C4" s="35" t="s">
        <v>2</v>
      </c>
      <c r="D4" s="36"/>
      <c r="E4" s="34"/>
      <c r="F4" s="41"/>
      <c r="G4" s="35" t="s">
        <v>0</v>
      </c>
      <c r="H4" s="35" t="s">
        <v>1</v>
      </c>
      <c r="I4" s="35" t="s">
        <v>2</v>
      </c>
      <c r="L4" s="41"/>
      <c r="M4" s="35" t="s">
        <v>0</v>
      </c>
      <c r="N4" s="35" t="s">
        <v>1</v>
      </c>
      <c r="O4" s="35" t="s">
        <v>2</v>
      </c>
      <c r="P4" s="34"/>
      <c r="Q4" s="35" t="s">
        <v>0</v>
      </c>
      <c r="R4" s="35" t="s">
        <v>1</v>
      </c>
      <c r="S4" s="35" t="s">
        <v>2</v>
      </c>
      <c r="T4" s="36"/>
      <c r="W4" s="41"/>
      <c r="X4" s="35" t="s">
        <v>0</v>
      </c>
      <c r="Y4" s="35" t="s">
        <v>1</v>
      </c>
      <c r="Z4" s="35" t="s">
        <v>2</v>
      </c>
      <c r="AA4" s="34"/>
      <c r="AB4" s="35" t="s">
        <v>0</v>
      </c>
      <c r="AC4" s="35" t="s">
        <v>1</v>
      </c>
      <c r="AD4" s="35" t="s">
        <v>2</v>
      </c>
      <c r="AE4" s="36"/>
      <c r="AH4" s="41" t="s">
        <v>0</v>
      </c>
      <c r="AI4" s="35" t="s">
        <v>1</v>
      </c>
      <c r="AJ4" s="35" t="s">
        <v>2</v>
      </c>
      <c r="AK4" s="35"/>
      <c r="AL4" s="34"/>
      <c r="AM4" s="35" t="s">
        <v>0</v>
      </c>
      <c r="AN4" s="35" t="s">
        <v>1</v>
      </c>
      <c r="AO4" s="35" t="s">
        <v>2</v>
      </c>
      <c r="AP4" s="36"/>
      <c r="AS4" s="41" t="s">
        <v>0</v>
      </c>
      <c r="AT4" s="35" t="s">
        <v>1</v>
      </c>
      <c r="AU4" s="35" t="s">
        <v>2</v>
      </c>
      <c r="AV4" s="35"/>
      <c r="AW4" s="34"/>
      <c r="AX4" s="35" t="s">
        <v>0</v>
      </c>
      <c r="AY4" s="35" t="s">
        <v>1</v>
      </c>
      <c r="AZ4" s="35" t="s">
        <v>2</v>
      </c>
      <c r="BA4" s="36"/>
      <c r="BD4" s="41" t="s">
        <v>0</v>
      </c>
      <c r="BE4" s="35" t="s">
        <v>1</v>
      </c>
      <c r="BF4" s="35" t="s">
        <v>2</v>
      </c>
      <c r="BG4" s="35"/>
      <c r="BH4" s="34"/>
      <c r="BI4" s="35">
        <v>6</v>
      </c>
      <c r="BJ4" s="35" t="s">
        <v>1</v>
      </c>
      <c r="BK4" s="35" t="s">
        <v>2</v>
      </c>
      <c r="BL4" s="36"/>
      <c r="BO4" s="41" t="s">
        <v>0</v>
      </c>
      <c r="BP4" s="35" t="s">
        <v>1</v>
      </c>
      <c r="BQ4" s="35" t="s">
        <v>2</v>
      </c>
      <c r="BR4" s="35"/>
      <c r="BS4" s="34"/>
      <c r="BT4" s="35" t="s">
        <v>0</v>
      </c>
      <c r="BU4" s="35" t="s">
        <v>1</v>
      </c>
      <c r="BV4" s="35" t="s">
        <v>2</v>
      </c>
      <c r="BW4" s="36"/>
      <c r="BZ4" s="41" t="s">
        <v>0</v>
      </c>
      <c r="CA4" s="35" t="s">
        <v>1</v>
      </c>
      <c r="CB4" s="35" t="s">
        <v>2</v>
      </c>
      <c r="CC4" s="35"/>
      <c r="CD4" s="34"/>
      <c r="CE4" s="35" t="s">
        <v>0</v>
      </c>
      <c r="CF4" s="35" t="s">
        <v>1</v>
      </c>
      <c r="CG4" s="35" t="s">
        <v>2</v>
      </c>
      <c r="CH4" s="36"/>
      <c r="CK4" s="41" t="s">
        <v>0</v>
      </c>
      <c r="CL4" s="35" t="s">
        <v>1</v>
      </c>
      <c r="CM4" s="35" t="s">
        <v>2</v>
      </c>
      <c r="CN4" s="35"/>
      <c r="CO4" s="34"/>
      <c r="CP4" s="35" t="s">
        <v>0</v>
      </c>
      <c r="CQ4" s="35" t="s">
        <v>1</v>
      </c>
      <c r="CR4" s="35" t="s">
        <v>2</v>
      </c>
      <c r="CS4" s="36"/>
    </row>
    <row r="5" spans="1:97" ht="14.4" customHeight="1" x14ac:dyDescent="0.35">
      <c r="A5" s="71" t="s">
        <v>32</v>
      </c>
      <c r="B5" s="72"/>
      <c r="C5" s="72"/>
      <c r="D5" s="73"/>
      <c r="E5" s="14"/>
      <c r="F5" s="71" t="s">
        <v>16</v>
      </c>
      <c r="G5" s="72"/>
      <c r="H5" s="72"/>
      <c r="I5" s="73"/>
      <c r="L5" s="59" t="s">
        <v>32</v>
      </c>
      <c r="M5" s="59"/>
      <c r="N5" s="59"/>
      <c r="O5" s="59"/>
      <c r="P5" s="14"/>
      <c r="Q5" s="59" t="s">
        <v>16</v>
      </c>
      <c r="R5" s="59"/>
      <c r="S5" s="59"/>
      <c r="T5" s="59"/>
      <c r="W5" s="59" t="s">
        <v>67</v>
      </c>
      <c r="X5" s="59"/>
      <c r="Y5" s="59"/>
      <c r="Z5" s="59"/>
      <c r="AA5" s="14"/>
      <c r="AB5" s="59" t="s">
        <v>16</v>
      </c>
      <c r="AC5" s="59"/>
      <c r="AD5" s="59"/>
      <c r="AE5" s="59"/>
      <c r="AH5" s="59" t="s">
        <v>67</v>
      </c>
      <c r="AI5" s="59"/>
      <c r="AJ5" s="59"/>
      <c r="AK5" s="59"/>
      <c r="AL5" s="14"/>
      <c r="AM5" s="59" t="s">
        <v>16</v>
      </c>
      <c r="AN5" s="59"/>
      <c r="AO5" s="59"/>
      <c r="AP5" s="59"/>
      <c r="AS5" s="59" t="s">
        <v>67</v>
      </c>
      <c r="AT5" s="59"/>
      <c r="AU5" s="59"/>
      <c r="AV5" s="59"/>
      <c r="AW5" s="14"/>
      <c r="AX5" s="59" t="s">
        <v>16</v>
      </c>
      <c r="AY5" s="59"/>
      <c r="AZ5" s="59"/>
      <c r="BA5" s="59"/>
      <c r="BD5" s="59" t="s">
        <v>67</v>
      </c>
      <c r="BE5" s="59"/>
      <c r="BF5" s="59"/>
      <c r="BG5" s="59"/>
      <c r="BH5" s="14"/>
      <c r="BI5" s="59" t="s">
        <v>16</v>
      </c>
      <c r="BJ5" s="59"/>
      <c r="BK5" s="59"/>
      <c r="BL5" s="59"/>
      <c r="BO5" s="59" t="s">
        <v>67</v>
      </c>
      <c r="BP5" s="59"/>
      <c r="BQ5" s="59"/>
      <c r="BR5" s="59"/>
      <c r="BS5" s="14"/>
      <c r="BT5" s="59" t="s">
        <v>16</v>
      </c>
      <c r="BU5" s="59"/>
      <c r="BV5" s="59"/>
      <c r="BW5" s="59"/>
      <c r="BZ5" s="59" t="s">
        <v>67</v>
      </c>
      <c r="CA5" s="59"/>
      <c r="CB5" s="59"/>
      <c r="CC5" s="59"/>
      <c r="CD5" s="14"/>
      <c r="CE5" s="59" t="s">
        <v>16</v>
      </c>
      <c r="CF5" s="59"/>
      <c r="CG5" s="59"/>
      <c r="CH5" s="59"/>
      <c r="CK5" s="59" t="s">
        <v>67</v>
      </c>
      <c r="CL5" s="59"/>
      <c r="CM5" s="59"/>
      <c r="CN5" s="59"/>
      <c r="CO5" s="14"/>
      <c r="CP5" s="59" t="s">
        <v>16</v>
      </c>
      <c r="CQ5" s="59"/>
      <c r="CR5" s="59"/>
      <c r="CS5" s="59"/>
    </row>
    <row r="6" spans="1:97" x14ac:dyDescent="0.35">
      <c r="A6" s="37" t="s">
        <v>3</v>
      </c>
      <c r="B6" s="38" t="s">
        <v>68</v>
      </c>
      <c r="C6" s="38" t="s">
        <v>69</v>
      </c>
      <c r="D6" s="38" t="s">
        <v>70</v>
      </c>
      <c r="E6" s="14"/>
      <c r="F6" s="37" t="s">
        <v>17</v>
      </c>
      <c r="G6" s="38" t="s">
        <v>106</v>
      </c>
      <c r="H6" s="38" t="s">
        <v>107</v>
      </c>
      <c r="I6" s="38" t="s">
        <v>108</v>
      </c>
      <c r="L6" s="37" t="s">
        <v>3</v>
      </c>
      <c r="M6" s="38" t="s">
        <v>149</v>
      </c>
      <c r="N6" s="38" t="s">
        <v>150</v>
      </c>
      <c r="O6" s="38" t="s">
        <v>151</v>
      </c>
      <c r="P6" s="14"/>
      <c r="Q6" s="37" t="s">
        <v>17</v>
      </c>
      <c r="R6" s="38" t="s">
        <v>185</v>
      </c>
      <c r="S6" s="38" t="s">
        <v>186</v>
      </c>
      <c r="T6" s="38" t="s">
        <v>187</v>
      </c>
      <c r="W6" s="37" t="s">
        <v>3</v>
      </c>
      <c r="X6" s="38" t="s">
        <v>227</v>
      </c>
      <c r="Y6" s="38" t="s">
        <v>150</v>
      </c>
      <c r="Z6" s="38" t="s">
        <v>228</v>
      </c>
      <c r="AA6" s="14"/>
      <c r="AB6" s="37" t="s">
        <v>17</v>
      </c>
      <c r="AC6" s="38" t="s">
        <v>263</v>
      </c>
      <c r="AD6" s="38" t="s">
        <v>126</v>
      </c>
      <c r="AE6" s="38" t="s">
        <v>264</v>
      </c>
      <c r="AH6" s="37" t="s">
        <v>3</v>
      </c>
      <c r="AI6" s="38" t="s">
        <v>290</v>
      </c>
      <c r="AJ6" s="38" t="s">
        <v>291</v>
      </c>
      <c r="AK6" s="38" t="s">
        <v>292</v>
      </c>
      <c r="AL6" s="14"/>
      <c r="AM6" s="37" t="s">
        <v>17</v>
      </c>
      <c r="AN6" s="38" t="s">
        <v>314</v>
      </c>
      <c r="AO6" s="38" t="s">
        <v>208</v>
      </c>
      <c r="AP6" s="38" t="s">
        <v>216</v>
      </c>
      <c r="AS6" s="37" t="s">
        <v>3</v>
      </c>
      <c r="AT6" s="38" t="s">
        <v>343</v>
      </c>
      <c r="AU6" s="38" t="s">
        <v>344</v>
      </c>
      <c r="AV6" s="38" t="s">
        <v>345</v>
      </c>
      <c r="AW6" s="14"/>
      <c r="AX6" s="37" t="s">
        <v>17</v>
      </c>
      <c r="AY6" s="38" t="s">
        <v>191</v>
      </c>
      <c r="AZ6" s="38" t="s">
        <v>367</v>
      </c>
      <c r="BA6" s="38" t="s">
        <v>368</v>
      </c>
      <c r="BD6" s="37" t="s">
        <v>3</v>
      </c>
      <c r="BE6" s="38" t="s">
        <v>388</v>
      </c>
      <c r="BF6" s="38" t="s">
        <v>389</v>
      </c>
      <c r="BG6" s="38" t="s">
        <v>95</v>
      </c>
      <c r="BH6" s="14"/>
      <c r="BI6" s="37" t="s">
        <v>17</v>
      </c>
      <c r="BJ6" s="38" t="s">
        <v>403</v>
      </c>
      <c r="BK6" s="38" t="s">
        <v>100</v>
      </c>
      <c r="BL6" s="38" t="s">
        <v>95</v>
      </c>
      <c r="BO6" s="37" t="s">
        <v>3</v>
      </c>
      <c r="BP6" s="38" t="s">
        <v>420</v>
      </c>
      <c r="BQ6" s="38" t="s">
        <v>421</v>
      </c>
      <c r="BR6" s="38" t="s">
        <v>422</v>
      </c>
      <c r="BS6" s="14"/>
      <c r="BT6" s="37" t="s">
        <v>17</v>
      </c>
      <c r="BU6" s="38" t="s">
        <v>446</v>
      </c>
      <c r="BV6" s="38" t="s">
        <v>447</v>
      </c>
      <c r="BW6" s="38" t="s">
        <v>448</v>
      </c>
      <c r="BZ6" s="37" t="s">
        <v>3</v>
      </c>
      <c r="CA6" s="38" t="s">
        <v>468</v>
      </c>
      <c r="CB6" s="38" t="s">
        <v>469</v>
      </c>
      <c r="CC6" s="38" t="s">
        <v>470</v>
      </c>
      <c r="CD6" s="14"/>
      <c r="CE6" s="37" t="s">
        <v>17</v>
      </c>
      <c r="CF6" s="38" t="s">
        <v>264</v>
      </c>
      <c r="CG6" s="38" t="s">
        <v>130</v>
      </c>
      <c r="CH6" s="38" t="s">
        <v>491</v>
      </c>
      <c r="CK6" s="37" t="s">
        <v>3</v>
      </c>
      <c r="CL6" s="38" t="s">
        <v>511</v>
      </c>
      <c r="CM6" s="38" t="s">
        <v>512</v>
      </c>
      <c r="CN6" s="38" t="s">
        <v>513</v>
      </c>
      <c r="CO6" s="14"/>
      <c r="CP6" s="37" t="s">
        <v>17</v>
      </c>
      <c r="CQ6" s="38" t="s">
        <v>106</v>
      </c>
      <c r="CR6" s="38" t="s">
        <v>320</v>
      </c>
      <c r="CS6" s="38" t="s">
        <v>368</v>
      </c>
    </row>
    <row r="7" spans="1:97" x14ac:dyDescent="0.35">
      <c r="A7" s="37" t="s">
        <v>4</v>
      </c>
      <c r="B7" s="38" t="s">
        <v>71</v>
      </c>
      <c r="C7" s="38" t="s">
        <v>72</v>
      </c>
      <c r="D7" s="38" t="s">
        <v>73</v>
      </c>
      <c r="E7" s="14"/>
      <c r="F7" s="37" t="s">
        <v>18</v>
      </c>
      <c r="G7" s="38" t="s">
        <v>109</v>
      </c>
      <c r="H7" s="38" t="s">
        <v>110</v>
      </c>
      <c r="I7" s="38" t="s">
        <v>111</v>
      </c>
      <c r="L7" s="37" t="s">
        <v>4</v>
      </c>
      <c r="M7" s="38" t="s">
        <v>152</v>
      </c>
      <c r="N7" s="38" t="s">
        <v>153</v>
      </c>
      <c r="O7" s="38" t="s">
        <v>154</v>
      </c>
      <c r="P7" s="14"/>
      <c r="Q7" s="37" t="s">
        <v>18</v>
      </c>
      <c r="R7" s="38" t="s">
        <v>188</v>
      </c>
      <c r="S7" s="38" t="s">
        <v>189</v>
      </c>
      <c r="T7" s="38" t="s">
        <v>190</v>
      </c>
      <c r="W7" s="37" t="s">
        <v>4</v>
      </c>
      <c r="X7" s="38" t="s">
        <v>229</v>
      </c>
      <c r="Y7" s="38" t="s">
        <v>230</v>
      </c>
      <c r="Z7" s="38" t="s">
        <v>231</v>
      </c>
      <c r="AA7" s="14"/>
      <c r="AB7" s="37" t="s">
        <v>18</v>
      </c>
      <c r="AC7" s="38" t="s">
        <v>265</v>
      </c>
      <c r="AD7" s="38" t="s">
        <v>266</v>
      </c>
      <c r="AE7" s="38" t="s">
        <v>267</v>
      </c>
      <c r="AH7" s="37" t="s">
        <v>4</v>
      </c>
      <c r="AI7" s="38" t="s">
        <v>229</v>
      </c>
      <c r="AJ7" s="38" t="s">
        <v>230</v>
      </c>
      <c r="AK7" s="38" t="s">
        <v>231</v>
      </c>
      <c r="AL7" s="14"/>
      <c r="AM7" s="37" t="s">
        <v>18</v>
      </c>
      <c r="AN7" s="38" t="s">
        <v>230</v>
      </c>
      <c r="AO7" s="38" t="s">
        <v>315</v>
      </c>
      <c r="AP7" s="38" t="s">
        <v>316</v>
      </c>
      <c r="AS7" s="37" t="s">
        <v>4</v>
      </c>
      <c r="AT7" s="38" t="s">
        <v>229</v>
      </c>
      <c r="AU7" s="38" t="s">
        <v>230</v>
      </c>
      <c r="AV7" s="38" t="s">
        <v>231</v>
      </c>
      <c r="AW7" s="14"/>
      <c r="AX7" s="37" t="s">
        <v>18</v>
      </c>
      <c r="AY7" s="38" t="s">
        <v>369</v>
      </c>
      <c r="AZ7" s="38" t="s">
        <v>236</v>
      </c>
      <c r="BA7" s="38" t="s">
        <v>370</v>
      </c>
      <c r="BD7" s="37" t="s">
        <v>4</v>
      </c>
      <c r="BE7" s="38" t="s">
        <v>229</v>
      </c>
      <c r="BF7" s="38" t="s">
        <v>230</v>
      </c>
      <c r="BG7" s="38" t="s">
        <v>231</v>
      </c>
      <c r="BH7" s="14"/>
      <c r="BI7" s="37" t="s">
        <v>18</v>
      </c>
      <c r="BJ7" s="38" t="s">
        <v>404</v>
      </c>
      <c r="BK7" s="38" t="s">
        <v>405</v>
      </c>
      <c r="BL7" s="38" t="s">
        <v>95</v>
      </c>
      <c r="BO7" s="37" t="s">
        <v>4</v>
      </c>
      <c r="BP7" s="38" t="s">
        <v>229</v>
      </c>
      <c r="BQ7" s="38" t="s">
        <v>230</v>
      </c>
      <c r="BR7" s="38" t="s">
        <v>231</v>
      </c>
      <c r="BS7" s="14"/>
      <c r="BT7" s="37" t="s">
        <v>18</v>
      </c>
      <c r="BU7" s="38" t="s">
        <v>449</v>
      </c>
      <c r="BV7" s="38" t="s">
        <v>450</v>
      </c>
      <c r="BW7" s="38" t="s">
        <v>451</v>
      </c>
      <c r="BZ7" s="37" t="s">
        <v>4</v>
      </c>
      <c r="CA7" s="38" t="s">
        <v>229</v>
      </c>
      <c r="CB7" s="38" t="s">
        <v>230</v>
      </c>
      <c r="CC7" s="38" t="s">
        <v>231</v>
      </c>
      <c r="CD7" s="14"/>
      <c r="CE7" s="37" t="s">
        <v>18</v>
      </c>
      <c r="CF7" s="38" t="s">
        <v>492</v>
      </c>
      <c r="CG7" s="38" t="s">
        <v>493</v>
      </c>
      <c r="CH7" s="38" t="s">
        <v>494</v>
      </c>
      <c r="CK7" s="37" t="s">
        <v>4</v>
      </c>
      <c r="CL7" s="38" t="s">
        <v>229</v>
      </c>
      <c r="CM7" s="38" t="s">
        <v>230</v>
      </c>
      <c r="CN7" s="38" t="s">
        <v>231</v>
      </c>
      <c r="CO7" s="14"/>
      <c r="CP7" s="37" t="s">
        <v>18</v>
      </c>
      <c r="CQ7" s="38" t="s">
        <v>175</v>
      </c>
      <c r="CR7" s="38" t="s">
        <v>536</v>
      </c>
      <c r="CS7" s="38" t="s">
        <v>537</v>
      </c>
    </row>
    <row r="8" spans="1:97" x14ac:dyDescent="0.35">
      <c r="A8" s="37" t="s">
        <v>5</v>
      </c>
      <c r="B8" s="39" t="s">
        <v>74</v>
      </c>
      <c r="C8" s="40" t="s">
        <v>75</v>
      </c>
      <c r="D8" s="40" t="s">
        <v>76</v>
      </c>
      <c r="E8" s="14"/>
      <c r="F8" s="37" t="s">
        <v>19</v>
      </c>
      <c r="G8" s="38" t="s">
        <v>112</v>
      </c>
      <c r="H8" s="38" t="s">
        <v>113</v>
      </c>
      <c r="I8" s="38" t="s">
        <v>114</v>
      </c>
      <c r="L8" s="37" t="s">
        <v>5</v>
      </c>
      <c r="M8" s="40" t="s">
        <v>155</v>
      </c>
      <c r="N8" s="40" t="s">
        <v>156</v>
      </c>
      <c r="O8" s="40" t="s">
        <v>71</v>
      </c>
      <c r="P8" s="14"/>
      <c r="Q8" s="37" t="s">
        <v>19</v>
      </c>
      <c r="R8" s="38" t="s">
        <v>191</v>
      </c>
      <c r="S8" s="38" t="s">
        <v>192</v>
      </c>
      <c r="T8" s="38" t="s">
        <v>193</v>
      </c>
      <c r="W8" s="37" t="s">
        <v>5</v>
      </c>
      <c r="X8" s="40" t="s">
        <v>232</v>
      </c>
      <c r="Y8" s="40" t="s">
        <v>233</v>
      </c>
      <c r="Z8" s="40" t="s">
        <v>234</v>
      </c>
      <c r="AA8" s="14"/>
      <c r="AB8" s="37" t="s">
        <v>19</v>
      </c>
      <c r="AC8" s="38" t="s">
        <v>268</v>
      </c>
      <c r="AD8" s="38" t="s">
        <v>269</v>
      </c>
      <c r="AE8" s="38" t="s">
        <v>270</v>
      </c>
      <c r="AH8" s="37" t="s">
        <v>5</v>
      </c>
      <c r="AI8" s="40" t="s">
        <v>293</v>
      </c>
      <c r="AJ8" s="40" t="s">
        <v>294</v>
      </c>
      <c r="AK8" s="40" t="s">
        <v>295</v>
      </c>
      <c r="AL8" s="14"/>
      <c r="AM8" s="37" t="s">
        <v>19</v>
      </c>
      <c r="AN8" s="38" t="s">
        <v>317</v>
      </c>
      <c r="AO8" s="38" t="s">
        <v>318</v>
      </c>
      <c r="AP8" s="38" t="s">
        <v>191</v>
      </c>
      <c r="AS8" s="37" t="s">
        <v>5</v>
      </c>
      <c r="AT8" s="40" t="s">
        <v>346</v>
      </c>
      <c r="AU8" s="40" t="s">
        <v>347</v>
      </c>
      <c r="AV8" s="40" t="s">
        <v>348</v>
      </c>
      <c r="AW8" s="14"/>
      <c r="AX8" s="37" t="s">
        <v>19</v>
      </c>
      <c r="AY8" s="38" t="s">
        <v>371</v>
      </c>
      <c r="AZ8" s="38" t="s">
        <v>332</v>
      </c>
      <c r="BA8" s="38" t="s">
        <v>333</v>
      </c>
      <c r="BD8" s="37" t="s">
        <v>5</v>
      </c>
      <c r="BE8" s="40" t="s">
        <v>390</v>
      </c>
      <c r="BF8" s="40" t="s">
        <v>391</v>
      </c>
      <c r="BG8" s="40" t="s">
        <v>95</v>
      </c>
      <c r="BH8" s="14"/>
      <c r="BI8" s="37" t="s">
        <v>19</v>
      </c>
      <c r="BJ8" s="38" t="s">
        <v>406</v>
      </c>
      <c r="BK8" s="38" t="s">
        <v>407</v>
      </c>
      <c r="BL8" s="38" t="s">
        <v>95</v>
      </c>
      <c r="BO8" s="37" t="s">
        <v>5</v>
      </c>
      <c r="BP8" s="40" t="s">
        <v>423</v>
      </c>
      <c r="BQ8" s="40" t="s">
        <v>424</v>
      </c>
      <c r="BR8" s="40" t="s">
        <v>425</v>
      </c>
      <c r="BS8" s="14"/>
      <c r="BT8" s="37" t="s">
        <v>19</v>
      </c>
      <c r="BU8" s="38" t="s">
        <v>452</v>
      </c>
      <c r="BV8" s="38" t="s">
        <v>453</v>
      </c>
      <c r="BW8" s="38" t="s">
        <v>134</v>
      </c>
      <c r="BZ8" s="37" t="s">
        <v>5</v>
      </c>
      <c r="CA8" s="40" t="s">
        <v>471</v>
      </c>
      <c r="CB8" s="40" t="s">
        <v>472</v>
      </c>
      <c r="CC8" s="40" t="s">
        <v>473</v>
      </c>
      <c r="CD8" s="14"/>
      <c r="CE8" s="37" t="s">
        <v>19</v>
      </c>
      <c r="CF8" s="38" t="s">
        <v>495</v>
      </c>
      <c r="CG8" s="38" t="s">
        <v>496</v>
      </c>
      <c r="CH8" s="38" t="s">
        <v>212</v>
      </c>
      <c r="CK8" s="37" t="s">
        <v>5</v>
      </c>
      <c r="CL8" s="40" t="s">
        <v>514</v>
      </c>
      <c r="CM8" s="40" t="s">
        <v>515</v>
      </c>
      <c r="CN8" s="40" t="s">
        <v>516</v>
      </c>
      <c r="CO8" s="14"/>
      <c r="CP8" s="37" t="s">
        <v>19</v>
      </c>
      <c r="CQ8" s="38" t="s">
        <v>538</v>
      </c>
      <c r="CR8" s="38" t="s">
        <v>539</v>
      </c>
      <c r="CS8" s="38" t="s">
        <v>540</v>
      </c>
    </row>
    <row r="9" spans="1:97" x14ac:dyDescent="0.35">
      <c r="A9" s="37" t="s">
        <v>6</v>
      </c>
      <c r="B9" s="38" t="s">
        <v>77</v>
      </c>
      <c r="C9" s="38" t="s">
        <v>78</v>
      </c>
      <c r="D9" s="38" t="s">
        <v>79</v>
      </c>
      <c r="E9" s="14"/>
      <c r="F9" s="37" t="s">
        <v>20</v>
      </c>
      <c r="G9" s="38" t="s">
        <v>115</v>
      </c>
      <c r="H9" s="38" t="s">
        <v>116</v>
      </c>
      <c r="I9" s="38" t="s">
        <v>107</v>
      </c>
      <c r="L9" s="37" t="s">
        <v>6</v>
      </c>
      <c r="M9" s="38" t="s">
        <v>157</v>
      </c>
      <c r="N9" s="38" t="s">
        <v>158</v>
      </c>
      <c r="O9" s="38" t="s">
        <v>159</v>
      </c>
      <c r="P9" s="14"/>
      <c r="Q9" s="37" t="s">
        <v>20</v>
      </c>
      <c r="R9" s="38" t="s">
        <v>194</v>
      </c>
      <c r="S9" s="38" t="s">
        <v>195</v>
      </c>
      <c r="T9" s="38" t="s">
        <v>131</v>
      </c>
      <c r="W9" s="37" t="s">
        <v>6</v>
      </c>
      <c r="X9" s="38" t="s">
        <v>235</v>
      </c>
      <c r="Y9" s="38" t="s">
        <v>236</v>
      </c>
      <c r="Z9" s="38" t="s">
        <v>237</v>
      </c>
      <c r="AA9" s="14"/>
      <c r="AB9" s="37" t="s">
        <v>20</v>
      </c>
      <c r="AC9" s="38" t="s">
        <v>107</v>
      </c>
      <c r="AD9" s="38" t="s">
        <v>203</v>
      </c>
      <c r="AE9" s="38" t="s">
        <v>203</v>
      </c>
      <c r="AH9" s="37" t="s">
        <v>6</v>
      </c>
      <c r="AI9" s="38" t="s">
        <v>235</v>
      </c>
      <c r="AJ9" s="38" t="s">
        <v>236</v>
      </c>
      <c r="AK9" s="38" t="s">
        <v>237</v>
      </c>
      <c r="AL9" s="14"/>
      <c r="AM9" s="37" t="s">
        <v>20</v>
      </c>
      <c r="AN9" s="38" t="s">
        <v>319</v>
      </c>
      <c r="AO9" s="38" t="s">
        <v>199</v>
      </c>
      <c r="AP9" s="38" t="s">
        <v>208</v>
      </c>
      <c r="AS9" s="37" t="s">
        <v>6</v>
      </c>
      <c r="AT9" s="38" t="s">
        <v>235</v>
      </c>
      <c r="AU9" s="38" t="s">
        <v>236</v>
      </c>
      <c r="AV9" s="38" t="s">
        <v>237</v>
      </c>
      <c r="AW9" s="14"/>
      <c r="AX9" s="37" t="s">
        <v>20</v>
      </c>
      <c r="AY9" s="38" t="s">
        <v>372</v>
      </c>
      <c r="AZ9" s="38" t="s">
        <v>273</v>
      </c>
      <c r="BA9" s="38" t="s">
        <v>373</v>
      </c>
      <c r="BD9" s="37" t="s">
        <v>6</v>
      </c>
      <c r="BE9" s="38" t="s">
        <v>235</v>
      </c>
      <c r="BF9" s="38" t="s">
        <v>236</v>
      </c>
      <c r="BG9" s="38" t="s">
        <v>237</v>
      </c>
      <c r="BH9" s="14"/>
      <c r="BI9" s="37" t="s">
        <v>20</v>
      </c>
      <c r="BJ9" s="38" t="s">
        <v>373</v>
      </c>
      <c r="BK9" s="38" t="s">
        <v>118</v>
      </c>
      <c r="BL9" s="38" t="s">
        <v>95</v>
      </c>
      <c r="BO9" s="37" t="s">
        <v>6</v>
      </c>
      <c r="BP9" s="38" t="s">
        <v>235</v>
      </c>
      <c r="BQ9" s="38" t="s">
        <v>236</v>
      </c>
      <c r="BR9" s="38" t="s">
        <v>237</v>
      </c>
      <c r="BS9" s="14"/>
      <c r="BT9" s="37" t="s">
        <v>20</v>
      </c>
      <c r="BU9" s="38" t="s">
        <v>131</v>
      </c>
      <c r="BV9" s="38" t="s">
        <v>131</v>
      </c>
      <c r="BW9" s="38" t="s">
        <v>203</v>
      </c>
      <c r="BZ9" s="37" t="s">
        <v>6</v>
      </c>
      <c r="CA9" s="38" t="s">
        <v>235</v>
      </c>
      <c r="CB9" s="38" t="s">
        <v>236</v>
      </c>
      <c r="CC9" s="38" t="s">
        <v>237</v>
      </c>
      <c r="CD9" s="14"/>
      <c r="CE9" s="37" t="s">
        <v>20</v>
      </c>
      <c r="CF9" s="38" t="s">
        <v>107</v>
      </c>
      <c r="CG9" s="38" t="s">
        <v>129</v>
      </c>
      <c r="CH9" s="38" t="s">
        <v>326</v>
      </c>
      <c r="CK9" s="37" t="s">
        <v>6</v>
      </c>
      <c r="CL9" s="38" t="s">
        <v>235</v>
      </c>
      <c r="CM9" s="38" t="s">
        <v>236</v>
      </c>
      <c r="CN9" s="38" t="s">
        <v>237</v>
      </c>
      <c r="CO9" s="14"/>
      <c r="CP9" s="37" t="s">
        <v>20</v>
      </c>
      <c r="CQ9" s="38" t="s">
        <v>202</v>
      </c>
      <c r="CR9" s="38" t="s">
        <v>208</v>
      </c>
      <c r="CS9" s="38" t="s">
        <v>278</v>
      </c>
    </row>
    <row r="10" spans="1:97" x14ac:dyDescent="0.35">
      <c r="A10" s="37" t="s">
        <v>5</v>
      </c>
      <c r="B10" s="39" t="s">
        <v>80</v>
      </c>
      <c r="C10" s="39" t="s">
        <v>81</v>
      </c>
      <c r="D10" s="40" t="s">
        <v>82</v>
      </c>
      <c r="E10" s="14"/>
      <c r="F10" s="37" t="s">
        <v>21</v>
      </c>
      <c r="G10" s="38" t="s">
        <v>108</v>
      </c>
      <c r="H10" s="38" t="s">
        <v>115</v>
      </c>
      <c r="I10" s="38" t="s">
        <v>117</v>
      </c>
      <c r="L10" s="37" t="s">
        <v>5</v>
      </c>
      <c r="M10" s="40" t="s">
        <v>160</v>
      </c>
      <c r="N10" s="39" t="s">
        <v>161</v>
      </c>
      <c r="O10" s="39" t="s">
        <v>162</v>
      </c>
      <c r="P10" s="14"/>
      <c r="Q10" s="37" t="s">
        <v>21</v>
      </c>
      <c r="R10" s="38" t="s">
        <v>196</v>
      </c>
      <c r="S10" s="38" t="s">
        <v>197</v>
      </c>
      <c r="T10" s="38" t="s">
        <v>198</v>
      </c>
      <c r="W10" s="37" t="s">
        <v>5</v>
      </c>
      <c r="X10" s="40" t="s">
        <v>238</v>
      </c>
      <c r="Y10" s="39" t="s">
        <v>239</v>
      </c>
      <c r="Z10" s="39" t="s">
        <v>240</v>
      </c>
      <c r="AA10" s="14"/>
      <c r="AB10" s="37" t="s">
        <v>21</v>
      </c>
      <c r="AC10" s="38" t="s">
        <v>199</v>
      </c>
      <c r="AD10" s="38" t="s">
        <v>204</v>
      </c>
      <c r="AE10" s="38" t="s">
        <v>198</v>
      </c>
      <c r="AH10" s="37" t="s">
        <v>5</v>
      </c>
      <c r="AI10" s="40" t="s">
        <v>296</v>
      </c>
      <c r="AJ10" s="39" t="s">
        <v>297</v>
      </c>
      <c r="AK10" s="39" t="s">
        <v>298</v>
      </c>
      <c r="AL10" s="14"/>
      <c r="AM10" s="37" t="s">
        <v>21</v>
      </c>
      <c r="AN10" s="38" t="s">
        <v>320</v>
      </c>
      <c r="AO10" s="38" t="s">
        <v>321</v>
      </c>
      <c r="AP10" s="38" t="s">
        <v>203</v>
      </c>
      <c r="AS10" s="37" t="s">
        <v>5</v>
      </c>
      <c r="AT10" s="40" t="s">
        <v>349</v>
      </c>
      <c r="AU10" s="39" t="s">
        <v>350</v>
      </c>
      <c r="AV10" s="39" t="s">
        <v>351</v>
      </c>
      <c r="AW10" s="14"/>
      <c r="AX10" s="37" t="s">
        <v>21</v>
      </c>
      <c r="AY10" s="38" t="s">
        <v>374</v>
      </c>
      <c r="AZ10" s="38" t="s">
        <v>332</v>
      </c>
      <c r="BA10" s="38" t="s">
        <v>271</v>
      </c>
      <c r="BD10" s="37" t="s">
        <v>5</v>
      </c>
      <c r="BE10" s="40" t="s">
        <v>392</v>
      </c>
      <c r="BF10" s="39" t="s">
        <v>393</v>
      </c>
      <c r="BG10" s="39" t="s">
        <v>95</v>
      </c>
      <c r="BH10" s="14"/>
      <c r="BI10" s="37" t="s">
        <v>21</v>
      </c>
      <c r="BJ10" s="38" t="s">
        <v>272</v>
      </c>
      <c r="BK10" s="38" t="s">
        <v>195</v>
      </c>
      <c r="BL10" s="38" t="s">
        <v>95</v>
      </c>
      <c r="BO10" s="37" t="s">
        <v>5</v>
      </c>
      <c r="BP10" s="40" t="s">
        <v>426</v>
      </c>
      <c r="BQ10" s="39" t="s">
        <v>427</v>
      </c>
      <c r="BR10" s="39" t="s">
        <v>428</v>
      </c>
      <c r="BS10" s="14"/>
      <c r="BT10" s="37" t="s">
        <v>21</v>
      </c>
      <c r="BU10" s="38" t="s">
        <v>454</v>
      </c>
      <c r="BV10" s="38" t="s">
        <v>324</v>
      </c>
      <c r="BW10" s="38" t="s">
        <v>199</v>
      </c>
      <c r="BZ10" s="37" t="s">
        <v>5</v>
      </c>
      <c r="CA10" s="40" t="s">
        <v>474</v>
      </c>
      <c r="CB10" s="39" t="s">
        <v>475</v>
      </c>
      <c r="CC10" s="39" t="s">
        <v>476</v>
      </c>
      <c r="CD10" s="14"/>
      <c r="CE10" s="37" t="s">
        <v>21</v>
      </c>
      <c r="CF10" s="38" t="s">
        <v>100</v>
      </c>
      <c r="CG10" s="38" t="s">
        <v>332</v>
      </c>
      <c r="CH10" s="38" t="s">
        <v>131</v>
      </c>
      <c r="CK10" s="37" t="s">
        <v>5</v>
      </c>
      <c r="CL10" s="40" t="s">
        <v>517</v>
      </c>
      <c r="CM10" s="39" t="s">
        <v>518</v>
      </c>
      <c r="CN10" s="39" t="s">
        <v>519</v>
      </c>
      <c r="CO10" s="14"/>
      <c r="CP10" s="37" t="s">
        <v>21</v>
      </c>
      <c r="CQ10" s="38" t="s">
        <v>273</v>
      </c>
      <c r="CR10" s="38" t="s">
        <v>129</v>
      </c>
      <c r="CS10" s="38" t="s">
        <v>325</v>
      </c>
    </row>
    <row r="11" spans="1:97" x14ac:dyDescent="0.35">
      <c r="A11" s="71" t="s">
        <v>7</v>
      </c>
      <c r="B11" s="72"/>
      <c r="C11" s="72"/>
      <c r="D11" s="73"/>
      <c r="E11" s="14"/>
      <c r="F11" s="37" t="s">
        <v>22</v>
      </c>
      <c r="G11" s="38" t="s">
        <v>118</v>
      </c>
      <c r="H11" s="38" t="s">
        <v>119</v>
      </c>
      <c r="I11" s="38" t="s">
        <v>120</v>
      </c>
      <c r="L11" s="59" t="s">
        <v>7</v>
      </c>
      <c r="M11" s="59"/>
      <c r="N11" s="59"/>
      <c r="O11" s="59"/>
      <c r="P11" s="14"/>
      <c r="Q11" s="37" t="s">
        <v>22</v>
      </c>
      <c r="R11" s="38" t="s">
        <v>199</v>
      </c>
      <c r="S11" s="38" t="s">
        <v>200</v>
      </c>
      <c r="T11" s="38" t="s">
        <v>201</v>
      </c>
      <c r="W11" s="59" t="s">
        <v>7</v>
      </c>
      <c r="X11" s="59"/>
      <c r="Y11" s="59"/>
      <c r="Z11" s="59"/>
      <c r="AA11" s="14"/>
      <c r="AB11" s="37" t="s">
        <v>22</v>
      </c>
      <c r="AC11" s="38" t="s">
        <v>271</v>
      </c>
      <c r="AD11" s="38" t="s">
        <v>272</v>
      </c>
      <c r="AE11" s="38" t="s">
        <v>198</v>
      </c>
      <c r="AH11" s="59" t="s">
        <v>7</v>
      </c>
      <c r="AI11" s="59"/>
      <c r="AJ11" s="59"/>
      <c r="AK11" s="59"/>
      <c r="AL11" s="14"/>
      <c r="AM11" s="37" t="s">
        <v>22</v>
      </c>
      <c r="AN11" s="38" t="s">
        <v>322</v>
      </c>
      <c r="AO11" s="38" t="s">
        <v>119</v>
      </c>
      <c r="AP11" s="38" t="s">
        <v>323</v>
      </c>
      <c r="AS11" s="59" t="s">
        <v>7</v>
      </c>
      <c r="AT11" s="59"/>
      <c r="AU11" s="59"/>
      <c r="AV11" s="59"/>
      <c r="AW11" s="14"/>
      <c r="AX11" s="37" t="s">
        <v>22</v>
      </c>
      <c r="AY11" s="38" t="s">
        <v>375</v>
      </c>
      <c r="AZ11" s="38" t="s">
        <v>376</v>
      </c>
      <c r="BA11" s="38" t="s">
        <v>374</v>
      </c>
      <c r="BD11" s="59" t="s">
        <v>7</v>
      </c>
      <c r="BE11" s="59"/>
      <c r="BF11" s="59"/>
      <c r="BG11" s="59"/>
      <c r="BH11" s="14"/>
      <c r="BI11" s="37" t="s">
        <v>22</v>
      </c>
      <c r="BJ11" s="38" t="s">
        <v>273</v>
      </c>
      <c r="BK11" s="38" t="s">
        <v>408</v>
      </c>
      <c r="BL11" s="38" t="s">
        <v>95</v>
      </c>
      <c r="BO11" s="59" t="s">
        <v>7</v>
      </c>
      <c r="BP11" s="59"/>
      <c r="BQ11" s="59"/>
      <c r="BR11" s="59"/>
      <c r="BS11" s="14"/>
      <c r="BT11" s="37" t="s">
        <v>22</v>
      </c>
      <c r="BU11" s="38" t="s">
        <v>326</v>
      </c>
      <c r="BV11" s="38" t="s">
        <v>374</v>
      </c>
      <c r="BW11" s="38" t="s">
        <v>210</v>
      </c>
      <c r="BZ11" s="59" t="s">
        <v>7</v>
      </c>
      <c r="CA11" s="59"/>
      <c r="CB11" s="59"/>
      <c r="CC11" s="59"/>
      <c r="CD11" s="14"/>
      <c r="CE11" s="37" t="s">
        <v>22</v>
      </c>
      <c r="CF11" s="38" t="s">
        <v>198</v>
      </c>
      <c r="CG11" s="38" t="s">
        <v>497</v>
      </c>
      <c r="CH11" s="38" t="s">
        <v>201</v>
      </c>
      <c r="CK11" s="59" t="s">
        <v>7</v>
      </c>
      <c r="CL11" s="59"/>
      <c r="CM11" s="59"/>
      <c r="CN11" s="59"/>
      <c r="CO11" s="14"/>
      <c r="CP11" s="37" t="s">
        <v>22</v>
      </c>
      <c r="CQ11" s="38" t="s">
        <v>198</v>
      </c>
      <c r="CR11" s="38" t="s">
        <v>541</v>
      </c>
      <c r="CS11" s="38" t="s">
        <v>272</v>
      </c>
    </row>
    <row r="12" spans="1:97" x14ac:dyDescent="0.35">
      <c r="A12" s="37" t="s">
        <v>8</v>
      </c>
      <c r="B12" s="38" t="s">
        <v>83</v>
      </c>
      <c r="C12" s="38" t="s">
        <v>84</v>
      </c>
      <c r="D12" s="38" t="s">
        <v>85</v>
      </c>
      <c r="E12" s="14"/>
      <c r="F12" s="71" t="s">
        <v>23</v>
      </c>
      <c r="G12" s="72"/>
      <c r="H12" s="72"/>
      <c r="I12" s="73"/>
      <c r="L12" s="37" t="s">
        <v>8</v>
      </c>
      <c r="M12" s="38" t="s">
        <v>163</v>
      </c>
      <c r="N12" s="38" t="s">
        <v>164</v>
      </c>
      <c r="O12" s="38" t="s">
        <v>165</v>
      </c>
      <c r="P12" s="14"/>
      <c r="Q12" s="59" t="s">
        <v>23</v>
      </c>
      <c r="R12" s="59"/>
      <c r="S12" s="59"/>
      <c r="T12" s="59"/>
      <c r="W12" s="37" t="s">
        <v>8</v>
      </c>
      <c r="X12" s="38" t="s">
        <v>241</v>
      </c>
      <c r="Y12" s="38" t="s">
        <v>242</v>
      </c>
      <c r="Z12" s="38" t="s">
        <v>243</v>
      </c>
      <c r="AA12" s="14"/>
      <c r="AB12" s="59" t="s">
        <v>23</v>
      </c>
      <c r="AC12" s="59"/>
      <c r="AD12" s="59"/>
      <c r="AE12" s="59"/>
      <c r="AH12" s="37" t="s">
        <v>8</v>
      </c>
      <c r="AI12" s="38" t="s">
        <v>299</v>
      </c>
      <c r="AJ12" s="38" t="s">
        <v>300</v>
      </c>
      <c r="AK12" s="38" t="s">
        <v>301</v>
      </c>
      <c r="AL12" s="14"/>
      <c r="AM12" s="59" t="s">
        <v>23</v>
      </c>
      <c r="AN12" s="59"/>
      <c r="AO12" s="59"/>
      <c r="AP12" s="59"/>
      <c r="AS12" s="37" t="s">
        <v>8</v>
      </c>
      <c r="AT12" s="38" t="s">
        <v>352</v>
      </c>
      <c r="AU12" s="38" t="s">
        <v>353</v>
      </c>
      <c r="AV12" s="38" t="s">
        <v>354</v>
      </c>
      <c r="AW12" s="14"/>
      <c r="AX12" s="59" t="s">
        <v>23</v>
      </c>
      <c r="AY12" s="59"/>
      <c r="AZ12" s="59"/>
      <c r="BA12" s="59"/>
      <c r="BD12" s="37" t="s">
        <v>8</v>
      </c>
      <c r="BE12" s="38" t="s">
        <v>394</v>
      </c>
      <c r="BF12" s="38" t="s">
        <v>395</v>
      </c>
      <c r="BG12" s="38" t="s">
        <v>95</v>
      </c>
      <c r="BH12" s="14"/>
      <c r="BI12" s="59" t="s">
        <v>23</v>
      </c>
      <c r="BJ12" s="59"/>
      <c r="BK12" s="59"/>
      <c r="BL12" s="59"/>
      <c r="BO12" s="37" t="s">
        <v>8</v>
      </c>
      <c r="BP12" s="38" t="s">
        <v>429</v>
      </c>
      <c r="BQ12" s="38" t="s">
        <v>430</v>
      </c>
      <c r="BR12" s="38" t="s">
        <v>431</v>
      </c>
      <c r="BS12" s="14"/>
      <c r="BT12" s="59" t="s">
        <v>23</v>
      </c>
      <c r="BU12" s="59"/>
      <c r="BV12" s="59"/>
      <c r="BW12" s="59"/>
      <c r="BZ12" s="37" t="s">
        <v>8</v>
      </c>
      <c r="CA12" s="38" t="s">
        <v>477</v>
      </c>
      <c r="CB12" s="38" t="s">
        <v>478</v>
      </c>
      <c r="CC12" s="38" t="s">
        <v>479</v>
      </c>
      <c r="CD12" s="14"/>
      <c r="CE12" s="59" t="s">
        <v>23</v>
      </c>
      <c r="CF12" s="59"/>
      <c r="CG12" s="59"/>
      <c r="CH12" s="59"/>
      <c r="CK12" s="37" t="s">
        <v>8</v>
      </c>
      <c r="CL12" s="38" t="s">
        <v>520</v>
      </c>
      <c r="CM12" s="38" t="s">
        <v>521</v>
      </c>
      <c r="CN12" s="38" t="s">
        <v>522</v>
      </c>
      <c r="CO12" s="14"/>
      <c r="CP12" s="59" t="s">
        <v>23</v>
      </c>
      <c r="CQ12" s="59"/>
      <c r="CR12" s="59"/>
      <c r="CS12" s="59"/>
    </row>
    <row r="13" spans="1:97" x14ac:dyDescent="0.35">
      <c r="A13" s="37" t="s">
        <v>9</v>
      </c>
      <c r="B13" s="38" t="s">
        <v>86</v>
      </c>
      <c r="C13" s="38" t="s">
        <v>87</v>
      </c>
      <c r="D13" s="38" t="s">
        <v>88</v>
      </c>
      <c r="E13" s="14"/>
      <c r="F13" s="37" t="s">
        <v>24</v>
      </c>
      <c r="G13" s="38" t="s">
        <v>121</v>
      </c>
      <c r="H13" s="38" t="s">
        <v>115</v>
      </c>
      <c r="I13" s="38" t="s">
        <v>122</v>
      </c>
      <c r="L13" s="37" t="s">
        <v>9</v>
      </c>
      <c r="M13" s="38" t="s">
        <v>166</v>
      </c>
      <c r="N13" s="38" t="s">
        <v>167</v>
      </c>
      <c r="O13" s="38" t="s">
        <v>168</v>
      </c>
      <c r="P13" s="14"/>
      <c r="Q13" s="37" t="s">
        <v>24</v>
      </c>
      <c r="R13" s="38" t="s">
        <v>202</v>
      </c>
      <c r="S13" s="38" t="s">
        <v>203</v>
      </c>
      <c r="T13" s="38" t="s">
        <v>204</v>
      </c>
      <c r="W13" s="37" t="s">
        <v>9</v>
      </c>
      <c r="X13" s="38" t="s">
        <v>244</v>
      </c>
      <c r="Y13" s="38" t="s">
        <v>245</v>
      </c>
      <c r="Z13" s="38" t="s">
        <v>246</v>
      </c>
      <c r="AA13" s="14"/>
      <c r="AB13" s="37" t="s">
        <v>24</v>
      </c>
      <c r="AC13" s="38" t="s">
        <v>203</v>
      </c>
      <c r="AD13" s="38" t="s">
        <v>273</v>
      </c>
      <c r="AE13" s="38" t="s">
        <v>271</v>
      </c>
      <c r="AH13" s="37" t="s">
        <v>9</v>
      </c>
      <c r="AI13" s="38" t="s">
        <v>244</v>
      </c>
      <c r="AJ13" s="38" t="s">
        <v>245</v>
      </c>
      <c r="AK13" s="38" t="s">
        <v>246</v>
      </c>
      <c r="AL13" s="14"/>
      <c r="AM13" s="37" t="s">
        <v>24</v>
      </c>
      <c r="AN13" s="38" t="s">
        <v>324</v>
      </c>
      <c r="AO13" s="38" t="s">
        <v>325</v>
      </c>
      <c r="AP13" s="38" t="s">
        <v>326</v>
      </c>
      <c r="AS13" s="37" t="s">
        <v>9</v>
      </c>
      <c r="AT13" s="38" t="s">
        <v>244</v>
      </c>
      <c r="AU13" s="38" t="s">
        <v>245</v>
      </c>
      <c r="AV13" s="38" t="s">
        <v>246</v>
      </c>
      <c r="AW13" s="14"/>
      <c r="AX13" s="37" t="s">
        <v>24</v>
      </c>
      <c r="AY13" s="38" t="s">
        <v>372</v>
      </c>
      <c r="AZ13" s="38" t="s">
        <v>330</v>
      </c>
      <c r="BA13" s="38" t="s">
        <v>210</v>
      </c>
      <c r="BD13" s="37" t="s">
        <v>9</v>
      </c>
      <c r="BE13" s="38" t="s">
        <v>244</v>
      </c>
      <c r="BF13" s="38" t="s">
        <v>245</v>
      </c>
      <c r="BG13" s="38" t="s">
        <v>246</v>
      </c>
      <c r="BH13" s="14"/>
      <c r="BI13" s="37" t="s">
        <v>24</v>
      </c>
      <c r="BJ13" s="38" t="s">
        <v>375</v>
      </c>
      <c r="BK13" s="38" t="s">
        <v>199</v>
      </c>
      <c r="BL13" s="38" t="s">
        <v>95</v>
      </c>
      <c r="BO13" s="37" t="s">
        <v>9</v>
      </c>
      <c r="BP13" s="38" t="s">
        <v>244</v>
      </c>
      <c r="BQ13" s="38" t="s">
        <v>245</v>
      </c>
      <c r="BR13" s="38" t="s">
        <v>246</v>
      </c>
      <c r="BS13" s="14"/>
      <c r="BT13" s="37" t="s">
        <v>24</v>
      </c>
      <c r="BU13" s="38" t="s">
        <v>380</v>
      </c>
      <c r="BV13" s="38" t="s">
        <v>325</v>
      </c>
      <c r="BW13" s="38" t="s">
        <v>208</v>
      </c>
      <c r="BZ13" s="37" t="s">
        <v>9</v>
      </c>
      <c r="CA13" s="38" t="s">
        <v>244</v>
      </c>
      <c r="CB13" s="38" t="s">
        <v>245</v>
      </c>
      <c r="CC13" s="38" t="s">
        <v>246</v>
      </c>
      <c r="CD13" s="14"/>
      <c r="CE13" s="37" t="s">
        <v>24</v>
      </c>
      <c r="CF13" s="38" t="s">
        <v>326</v>
      </c>
      <c r="CG13" s="38" t="s">
        <v>131</v>
      </c>
      <c r="CH13" s="38" t="s">
        <v>278</v>
      </c>
      <c r="CK13" s="37" t="s">
        <v>9</v>
      </c>
      <c r="CL13" s="38" t="s">
        <v>244</v>
      </c>
      <c r="CM13" s="38" t="s">
        <v>245</v>
      </c>
      <c r="CN13" s="38" t="s">
        <v>246</v>
      </c>
      <c r="CO13" s="14"/>
      <c r="CP13" s="37" t="s">
        <v>24</v>
      </c>
      <c r="CQ13" s="38" t="s">
        <v>278</v>
      </c>
      <c r="CR13" s="38" t="s">
        <v>279</v>
      </c>
      <c r="CS13" s="38" t="s">
        <v>273</v>
      </c>
    </row>
    <row r="14" spans="1:97" x14ac:dyDescent="0.35">
      <c r="A14" s="37" t="s">
        <v>10</v>
      </c>
      <c r="B14" s="38" t="s">
        <v>89</v>
      </c>
      <c r="C14" s="38" t="s">
        <v>90</v>
      </c>
      <c r="D14" s="38" t="s">
        <v>91</v>
      </c>
      <c r="E14" s="14"/>
      <c r="F14" s="37" t="s">
        <v>25</v>
      </c>
      <c r="G14" s="38" t="s">
        <v>123</v>
      </c>
      <c r="H14" s="38" t="s">
        <v>124</v>
      </c>
      <c r="I14" s="38" t="s">
        <v>125</v>
      </c>
      <c r="L14" s="37" t="s">
        <v>10</v>
      </c>
      <c r="M14" s="38" t="s">
        <v>169</v>
      </c>
      <c r="N14" s="38" t="s">
        <v>170</v>
      </c>
      <c r="O14" s="38" t="s">
        <v>171</v>
      </c>
      <c r="P14" s="14"/>
      <c r="Q14" s="37" t="s">
        <v>25</v>
      </c>
      <c r="R14" s="38" t="s">
        <v>205</v>
      </c>
      <c r="S14" s="38" t="s">
        <v>206</v>
      </c>
      <c r="T14" s="38" t="s">
        <v>207</v>
      </c>
      <c r="W14" s="37" t="s">
        <v>10</v>
      </c>
      <c r="X14" s="38" t="s">
        <v>247</v>
      </c>
      <c r="Y14" s="38" t="s">
        <v>248</v>
      </c>
      <c r="Z14" s="38" t="s">
        <v>249</v>
      </c>
      <c r="AA14" s="14"/>
      <c r="AB14" s="37" t="s">
        <v>25</v>
      </c>
      <c r="AC14" s="38" t="s">
        <v>274</v>
      </c>
      <c r="AD14" s="38" t="s">
        <v>275</v>
      </c>
      <c r="AE14" s="38" t="s">
        <v>276</v>
      </c>
      <c r="AH14" s="37" t="s">
        <v>10</v>
      </c>
      <c r="AI14" s="38" t="s">
        <v>247</v>
      </c>
      <c r="AJ14" s="38" t="s">
        <v>248</v>
      </c>
      <c r="AK14" s="38" t="s">
        <v>249</v>
      </c>
      <c r="AL14" s="14"/>
      <c r="AM14" s="37" t="s">
        <v>25</v>
      </c>
      <c r="AN14" s="38" t="s">
        <v>327</v>
      </c>
      <c r="AO14" s="38" t="s">
        <v>328</v>
      </c>
      <c r="AP14" s="38" t="s">
        <v>329</v>
      </c>
      <c r="AS14" s="37" t="s">
        <v>10</v>
      </c>
      <c r="AT14" s="38" t="s">
        <v>247</v>
      </c>
      <c r="AU14" s="38" t="s">
        <v>248</v>
      </c>
      <c r="AV14" s="38" t="s">
        <v>249</v>
      </c>
      <c r="AW14" s="14"/>
      <c r="AX14" s="37" t="s">
        <v>25</v>
      </c>
      <c r="AY14" s="38" t="s">
        <v>377</v>
      </c>
      <c r="AZ14" s="38" t="s">
        <v>378</v>
      </c>
      <c r="BA14" s="38" t="s">
        <v>379</v>
      </c>
      <c r="BD14" s="37" t="s">
        <v>10</v>
      </c>
      <c r="BE14" s="38" t="s">
        <v>247</v>
      </c>
      <c r="BF14" s="38" t="s">
        <v>248</v>
      </c>
      <c r="BG14" s="38" t="s">
        <v>249</v>
      </c>
      <c r="BH14" s="14"/>
      <c r="BI14" s="37" t="s">
        <v>25</v>
      </c>
      <c r="BJ14" s="38" t="s">
        <v>409</v>
      </c>
      <c r="BK14" s="38" t="s">
        <v>410</v>
      </c>
      <c r="BL14" s="38" t="s">
        <v>95</v>
      </c>
      <c r="BO14" s="37" t="s">
        <v>10</v>
      </c>
      <c r="BP14" s="38" t="s">
        <v>247</v>
      </c>
      <c r="BQ14" s="38" t="s">
        <v>248</v>
      </c>
      <c r="BR14" s="38" t="s">
        <v>249</v>
      </c>
      <c r="BS14" s="14"/>
      <c r="BT14" s="37" t="s">
        <v>25</v>
      </c>
      <c r="BU14" s="38" t="s">
        <v>455</v>
      </c>
      <c r="BV14" s="38" t="s">
        <v>456</v>
      </c>
      <c r="BW14" s="38" t="s">
        <v>457</v>
      </c>
      <c r="BZ14" s="37" t="s">
        <v>10</v>
      </c>
      <c r="CA14" s="38" t="s">
        <v>247</v>
      </c>
      <c r="CB14" s="38" t="s">
        <v>248</v>
      </c>
      <c r="CC14" s="38" t="s">
        <v>249</v>
      </c>
      <c r="CD14" s="14"/>
      <c r="CE14" s="37" t="s">
        <v>25</v>
      </c>
      <c r="CF14" s="38" t="s">
        <v>498</v>
      </c>
      <c r="CG14" s="38" t="s">
        <v>499</v>
      </c>
      <c r="CH14" s="38" t="s">
        <v>500</v>
      </c>
      <c r="CK14" s="37" t="s">
        <v>10</v>
      </c>
      <c r="CL14" s="38" t="s">
        <v>247</v>
      </c>
      <c r="CM14" s="38" t="s">
        <v>248</v>
      </c>
      <c r="CN14" s="38" t="s">
        <v>249</v>
      </c>
      <c r="CO14" s="14"/>
      <c r="CP14" s="37" t="s">
        <v>25</v>
      </c>
      <c r="CQ14" s="38" t="s">
        <v>542</v>
      </c>
      <c r="CR14" s="38" t="s">
        <v>543</v>
      </c>
      <c r="CS14" s="38" t="s">
        <v>544</v>
      </c>
    </row>
    <row r="15" spans="1:97" x14ac:dyDescent="0.35">
      <c r="A15" s="37" t="s">
        <v>11</v>
      </c>
      <c r="B15" s="38" t="s">
        <v>92</v>
      </c>
      <c r="C15" s="38" t="s">
        <v>93</v>
      </c>
      <c r="D15" s="38" t="s">
        <v>94</v>
      </c>
      <c r="E15" s="14"/>
      <c r="F15" s="37" t="s">
        <v>26</v>
      </c>
      <c r="G15" s="38" t="s">
        <v>126</v>
      </c>
      <c r="H15" s="38" t="s">
        <v>127</v>
      </c>
      <c r="I15" s="38" t="s">
        <v>128</v>
      </c>
      <c r="L15" s="37" t="s">
        <v>11</v>
      </c>
      <c r="M15" s="38" t="s">
        <v>172</v>
      </c>
      <c r="N15" s="38" t="s">
        <v>173</v>
      </c>
      <c r="O15" s="38" t="s">
        <v>174</v>
      </c>
      <c r="P15" s="14"/>
      <c r="Q15" s="37" t="s">
        <v>26</v>
      </c>
      <c r="R15" s="38" t="s">
        <v>197</v>
      </c>
      <c r="S15" s="38" t="s">
        <v>208</v>
      </c>
      <c r="T15" s="38" t="s">
        <v>100</v>
      </c>
      <c r="W15" s="37" t="s">
        <v>11</v>
      </c>
      <c r="X15" s="38" t="s">
        <v>250</v>
      </c>
      <c r="Y15" s="38" t="s">
        <v>251</v>
      </c>
      <c r="Z15" s="38" t="s">
        <v>252</v>
      </c>
      <c r="AA15" s="14"/>
      <c r="AB15" s="37" t="s">
        <v>26</v>
      </c>
      <c r="AC15" s="38" t="s">
        <v>277</v>
      </c>
      <c r="AD15" s="38" t="s">
        <v>273</v>
      </c>
      <c r="AE15" s="38" t="s">
        <v>208</v>
      </c>
      <c r="AH15" s="37" t="s">
        <v>11</v>
      </c>
      <c r="AI15" s="38" t="s">
        <v>302</v>
      </c>
      <c r="AJ15" s="38" t="s">
        <v>303</v>
      </c>
      <c r="AK15" s="38" t="s">
        <v>304</v>
      </c>
      <c r="AL15" s="14"/>
      <c r="AM15" s="37" t="s">
        <v>26</v>
      </c>
      <c r="AN15" s="38" t="s">
        <v>319</v>
      </c>
      <c r="AO15" s="38" t="s">
        <v>330</v>
      </c>
      <c r="AP15" s="38" t="s">
        <v>129</v>
      </c>
      <c r="AS15" s="37" t="s">
        <v>11</v>
      </c>
      <c r="AT15" s="38" t="s">
        <v>355</v>
      </c>
      <c r="AU15" s="38" t="s">
        <v>355</v>
      </c>
      <c r="AV15" s="38" t="s">
        <v>356</v>
      </c>
      <c r="AW15" s="14"/>
      <c r="AX15" s="37" t="s">
        <v>26</v>
      </c>
      <c r="AY15" s="38" t="s">
        <v>380</v>
      </c>
      <c r="AZ15" s="38" t="s">
        <v>100</v>
      </c>
      <c r="BA15" s="38" t="s">
        <v>381</v>
      </c>
      <c r="BD15" s="37" t="s">
        <v>11</v>
      </c>
      <c r="BE15" s="38" t="s">
        <v>396</v>
      </c>
      <c r="BF15" s="38" t="s">
        <v>397</v>
      </c>
      <c r="BG15" s="38" t="s">
        <v>95</v>
      </c>
      <c r="BH15" s="14"/>
      <c r="BI15" s="37" t="s">
        <v>26</v>
      </c>
      <c r="BJ15" s="38" t="s">
        <v>331</v>
      </c>
      <c r="BK15" s="38" t="s">
        <v>325</v>
      </c>
      <c r="BL15" s="38" t="s">
        <v>95</v>
      </c>
      <c r="BO15" s="37" t="s">
        <v>11</v>
      </c>
      <c r="BP15" s="38" t="s">
        <v>432</v>
      </c>
      <c r="BQ15" s="38" t="s">
        <v>433</v>
      </c>
      <c r="BR15" s="38" t="s">
        <v>434</v>
      </c>
      <c r="BS15" s="14"/>
      <c r="BT15" s="37" t="s">
        <v>26</v>
      </c>
      <c r="BU15" s="38" t="s">
        <v>458</v>
      </c>
      <c r="BV15" s="38" t="s">
        <v>199</v>
      </c>
      <c r="BW15" s="38" t="s">
        <v>199</v>
      </c>
      <c r="BZ15" s="37" t="s">
        <v>11</v>
      </c>
      <c r="CA15" s="38" t="s">
        <v>480</v>
      </c>
      <c r="CB15" s="38" t="s">
        <v>481</v>
      </c>
      <c r="CC15" s="38" t="s">
        <v>482</v>
      </c>
      <c r="CD15" s="14"/>
      <c r="CE15" s="37" t="s">
        <v>26</v>
      </c>
      <c r="CF15" s="38" t="s">
        <v>122</v>
      </c>
      <c r="CG15" s="38" t="s">
        <v>279</v>
      </c>
      <c r="CH15" s="38" t="s">
        <v>199</v>
      </c>
      <c r="CK15" s="37" t="s">
        <v>11</v>
      </c>
      <c r="CL15" s="38" t="s">
        <v>523</v>
      </c>
      <c r="CM15" s="38" t="s">
        <v>524</v>
      </c>
      <c r="CN15" s="38" t="s">
        <v>525</v>
      </c>
      <c r="CO15" s="14"/>
      <c r="CP15" s="37" t="s">
        <v>26</v>
      </c>
      <c r="CQ15" s="38" t="s">
        <v>100</v>
      </c>
      <c r="CR15" s="38" t="s">
        <v>118</v>
      </c>
      <c r="CS15" s="38" t="s">
        <v>201</v>
      </c>
    </row>
    <row r="16" spans="1:97" x14ac:dyDescent="0.35">
      <c r="A16" s="37" t="s">
        <v>12</v>
      </c>
      <c r="B16" s="38" t="s">
        <v>96</v>
      </c>
      <c r="C16" s="38" t="s">
        <v>97</v>
      </c>
      <c r="D16" s="38" t="s">
        <v>69</v>
      </c>
      <c r="E16" s="14"/>
      <c r="F16" s="37" t="s">
        <v>27</v>
      </c>
      <c r="G16" s="38" t="s">
        <v>129</v>
      </c>
      <c r="H16" s="38" t="s">
        <v>130</v>
      </c>
      <c r="I16" s="38" t="s">
        <v>131</v>
      </c>
      <c r="L16" s="37" t="s">
        <v>12</v>
      </c>
      <c r="M16" s="38" t="s">
        <v>175</v>
      </c>
      <c r="N16" s="38" t="s">
        <v>176</v>
      </c>
      <c r="O16" s="38" t="s">
        <v>97</v>
      </c>
      <c r="P16" s="14"/>
      <c r="Q16" s="37" t="s">
        <v>27</v>
      </c>
      <c r="R16" s="38" t="s">
        <v>209</v>
      </c>
      <c r="S16" s="38" t="s">
        <v>210</v>
      </c>
      <c r="T16" s="38" t="s">
        <v>211</v>
      </c>
      <c r="W16" s="37" t="s">
        <v>12</v>
      </c>
      <c r="X16" s="38" t="s">
        <v>253</v>
      </c>
      <c r="Y16" s="38" t="s">
        <v>254</v>
      </c>
      <c r="Z16" s="38" t="s">
        <v>255</v>
      </c>
      <c r="AA16" s="14"/>
      <c r="AB16" s="37" t="s">
        <v>27</v>
      </c>
      <c r="AC16" s="38" t="s">
        <v>278</v>
      </c>
      <c r="AD16" s="38" t="s">
        <v>201</v>
      </c>
      <c r="AE16" s="38" t="s">
        <v>279</v>
      </c>
      <c r="AH16" s="37" t="s">
        <v>12</v>
      </c>
      <c r="AI16" s="38" t="s">
        <v>305</v>
      </c>
      <c r="AJ16" s="38" t="s">
        <v>306</v>
      </c>
      <c r="AK16" s="38" t="s">
        <v>307</v>
      </c>
      <c r="AL16" s="14"/>
      <c r="AM16" s="37" t="s">
        <v>27</v>
      </c>
      <c r="AN16" s="38" t="s">
        <v>118</v>
      </c>
      <c r="AO16" s="38" t="s">
        <v>331</v>
      </c>
      <c r="AP16" s="38" t="s">
        <v>332</v>
      </c>
      <c r="AS16" s="37" t="s">
        <v>12</v>
      </c>
      <c r="AT16" s="38" t="s">
        <v>357</v>
      </c>
      <c r="AU16" s="38" t="s">
        <v>358</v>
      </c>
      <c r="AV16" s="38" t="s">
        <v>359</v>
      </c>
      <c r="AW16" s="14"/>
      <c r="AX16" s="37" t="s">
        <v>27</v>
      </c>
      <c r="AY16" s="38" t="s">
        <v>372</v>
      </c>
      <c r="AZ16" s="38" t="s">
        <v>272</v>
      </c>
      <c r="BA16" s="38" t="s">
        <v>272</v>
      </c>
      <c r="BD16" s="37" t="s">
        <v>12</v>
      </c>
      <c r="BE16" s="38" t="s">
        <v>398</v>
      </c>
      <c r="BF16" s="38" t="s">
        <v>399</v>
      </c>
      <c r="BG16" s="38" t="s">
        <v>95</v>
      </c>
      <c r="BH16" s="14"/>
      <c r="BI16" s="37" t="s">
        <v>27</v>
      </c>
      <c r="BJ16" s="38" t="s">
        <v>411</v>
      </c>
      <c r="BK16" s="38" t="s">
        <v>412</v>
      </c>
      <c r="BL16" s="38" t="s">
        <v>95</v>
      </c>
      <c r="BO16" s="37" t="s">
        <v>12</v>
      </c>
      <c r="BP16" s="38" t="s">
        <v>435</v>
      </c>
      <c r="BQ16" s="38" t="s">
        <v>436</v>
      </c>
      <c r="BR16" s="38" t="s">
        <v>437</v>
      </c>
      <c r="BS16" s="14"/>
      <c r="BT16" s="37" t="s">
        <v>27</v>
      </c>
      <c r="BU16" s="38" t="s">
        <v>208</v>
      </c>
      <c r="BV16" s="38" t="s">
        <v>208</v>
      </c>
      <c r="BW16" s="38" t="s">
        <v>326</v>
      </c>
      <c r="BZ16" s="37" t="s">
        <v>12</v>
      </c>
      <c r="CA16" s="38" t="s">
        <v>483</v>
      </c>
      <c r="CB16" s="38" t="s">
        <v>484</v>
      </c>
      <c r="CC16" s="38" t="s">
        <v>485</v>
      </c>
      <c r="CD16" s="14"/>
      <c r="CE16" s="37" t="s">
        <v>27</v>
      </c>
      <c r="CF16" s="38" t="s">
        <v>130</v>
      </c>
      <c r="CG16" s="38" t="s">
        <v>204</v>
      </c>
      <c r="CH16" s="38" t="s">
        <v>325</v>
      </c>
      <c r="CK16" s="37" t="s">
        <v>12</v>
      </c>
      <c r="CL16" s="38" t="s">
        <v>526</v>
      </c>
      <c r="CM16" s="38" t="s">
        <v>527</v>
      </c>
      <c r="CN16" s="38" t="s">
        <v>528</v>
      </c>
      <c r="CO16" s="14"/>
      <c r="CP16" s="37" t="s">
        <v>27</v>
      </c>
      <c r="CQ16" s="38" t="s">
        <v>202</v>
      </c>
      <c r="CR16" s="38" t="s">
        <v>380</v>
      </c>
      <c r="CS16" s="38" t="s">
        <v>198</v>
      </c>
    </row>
    <row r="17" spans="1:97" x14ac:dyDescent="0.35">
      <c r="A17" s="37" t="s">
        <v>13</v>
      </c>
      <c r="B17" s="38" t="s">
        <v>98</v>
      </c>
      <c r="C17" s="38" t="s">
        <v>99</v>
      </c>
      <c r="D17" s="38" t="s">
        <v>100</v>
      </c>
      <c r="E17" s="14"/>
      <c r="F17" s="71" t="s">
        <v>28</v>
      </c>
      <c r="G17" s="72"/>
      <c r="H17" s="72"/>
      <c r="I17" s="73"/>
      <c r="L17" s="37" t="s">
        <v>13</v>
      </c>
      <c r="M17" s="38" t="s">
        <v>177</v>
      </c>
      <c r="N17" s="38" t="s">
        <v>178</v>
      </c>
      <c r="O17" s="38" t="s">
        <v>179</v>
      </c>
      <c r="P17" s="14"/>
      <c r="Q17" s="59" t="s">
        <v>28</v>
      </c>
      <c r="R17" s="59"/>
      <c r="S17" s="59"/>
      <c r="T17" s="59"/>
      <c r="W17" s="37" t="s">
        <v>13</v>
      </c>
      <c r="X17" s="38" t="s">
        <v>256</v>
      </c>
      <c r="Y17" s="38" t="s">
        <v>216</v>
      </c>
      <c r="Z17" s="38" t="s">
        <v>113</v>
      </c>
      <c r="AA17" s="14"/>
      <c r="AB17" s="59" t="s">
        <v>28</v>
      </c>
      <c r="AC17" s="59"/>
      <c r="AD17" s="59"/>
      <c r="AE17" s="59"/>
      <c r="AH17" s="37" t="s">
        <v>13</v>
      </c>
      <c r="AI17" s="38" t="s">
        <v>308</v>
      </c>
      <c r="AJ17" s="38" t="s">
        <v>120</v>
      </c>
      <c r="AK17" s="38" t="s">
        <v>309</v>
      </c>
      <c r="AL17" s="14"/>
      <c r="AM17" s="59" t="s">
        <v>28</v>
      </c>
      <c r="AN17" s="59"/>
      <c r="AO17" s="59"/>
      <c r="AP17" s="59"/>
      <c r="AS17" s="37" t="s">
        <v>13</v>
      </c>
      <c r="AT17" s="38" t="s">
        <v>360</v>
      </c>
      <c r="AU17" s="38" t="s">
        <v>361</v>
      </c>
      <c r="AV17" s="38" t="s">
        <v>362</v>
      </c>
      <c r="AW17" s="14"/>
      <c r="AX17" s="59" t="s">
        <v>28</v>
      </c>
      <c r="AY17" s="59"/>
      <c r="AZ17" s="59"/>
      <c r="BA17" s="59"/>
      <c r="BD17" s="37" t="s">
        <v>13</v>
      </c>
      <c r="BE17" s="38" t="s">
        <v>371</v>
      </c>
      <c r="BF17" s="38" t="s">
        <v>119</v>
      </c>
      <c r="BG17" s="38" t="s">
        <v>95</v>
      </c>
      <c r="BH17" s="14"/>
      <c r="BI17" s="59" t="s">
        <v>28</v>
      </c>
      <c r="BJ17" s="59"/>
      <c r="BK17" s="59"/>
      <c r="BL17" s="59"/>
      <c r="BO17" s="37" t="s">
        <v>13</v>
      </c>
      <c r="BP17" s="38" t="s">
        <v>438</v>
      </c>
      <c r="BQ17" s="38" t="s">
        <v>439</v>
      </c>
      <c r="BR17" s="38" t="s">
        <v>440</v>
      </c>
      <c r="BS17" s="14"/>
      <c r="BT17" s="59" t="s">
        <v>28</v>
      </c>
      <c r="BU17" s="59"/>
      <c r="BV17" s="59"/>
      <c r="BW17" s="59"/>
      <c r="BZ17" s="37" t="s">
        <v>13</v>
      </c>
      <c r="CA17" s="38" t="s">
        <v>113</v>
      </c>
      <c r="CB17" s="38" t="s">
        <v>486</v>
      </c>
      <c r="CC17" s="38" t="s">
        <v>187</v>
      </c>
      <c r="CD17" s="14"/>
      <c r="CE17" s="59" t="s">
        <v>28</v>
      </c>
      <c r="CF17" s="59"/>
      <c r="CG17" s="59"/>
      <c r="CH17" s="59"/>
      <c r="CK17" s="37" t="s">
        <v>13</v>
      </c>
      <c r="CL17" s="38" t="s">
        <v>215</v>
      </c>
      <c r="CM17" s="38" t="s">
        <v>529</v>
      </c>
      <c r="CN17" s="38" t="s">
        <v>362</v>
      </c>
      <c r="CO17" s="14"/>
      <c r="CP17" s="59" t="s">
        <v>28</v>
      </c>
      <c r="CQ17" s="59"/>
      <c r="CR17" s="59"/>
      <c r="CS17" s="59"/>
    </row>
    <row r="18" spans="1:97" x14ac:dyDescent="0.35">
      <c r="A18" s="37" t="s">
        <v>14</v>
      </c>
      <c r="B18" s="38" t="s">
        <v>101</v>
      </c>
      <c r="C18" s="38" t="s">
        <v>102</v>
      </c>
      <c r="D18" s="38" t="s">
        <v>102</v>
      </c>
      <c r="E18" s="14"/>
      <c r="F18" s="37" t="s">
        <v>29</v>
      </c>
      <c r="G18" s="38" t="s">
        <v>132</v>
      </c>
      <c r="H18" s="38" t="s">
        <v>133</v>
      </c>
      <c r="I18" s="38" t="s">
        <v>134</v>
      </c>
      <c r="L18" s="37" t="s">
        <v>14</v>
      </c>
      <c r="M18" s="38" t="s">
        <v>180</v>
      </c>
      <c r="N18" s="38" t="s">
        <v>180</v>
      </c>
      <c r="O18" s="38" t="s">
        <v>181</v>
      </c>
      <c r="P18" s="14"/>
      <c r="Q18" s="37" t="s">
        <v>29</v>
      </c>
      <c r="R18" s="38" t="s">
        <v>212</v>
      </c>
      <c r="S18" s="38" t="s">
        <v>213</v>
      </c>
      <c r="T18" s="38" t="s">
        <v>214</v>
      </c>
      <c r="W18" s="37" t="s">
        <v>14</v>
      </c>
      <c r="X18" s="38" t="s">
        <v>257</v>
      </c>
      <c r="Y18" s="38" t="s">
        <v>258</v>
      </c>
      <c r="Z18" s="38" t="s">
        <v>259</v>
      </c>
      <c r="AA18" s="14"/>
      <c r="AB18" s="37" t="s">
        <v>29</v>
      </c>
      <c r="AC18" s="38" t="s">
        <v>280</v>
      </c>
      <c r="AD18" s="38" t="s">
        <v>106</v>
      </c>
      <c r="AE18" s="38" t="s">
        <v>281</v>
      </c>
      <c r="AH18" s="37" t="s">
        <v>14</v>
      </c>
      <c r="AI18" s="38" t="s">
        <v>310</v>
      </c>
      <c r="AJ18" s="38" t="s">
        <v>258</v>
      </c>
      <c r="AK18" s="38" t="s">
        <v>310</v>
      </c>
      <c r="AL18" s="14"/>
      <c r="AM18" s="37" t="s">
        <v>29</v>
      </c>
      <c r="AN18" s="38" t="s">
        <v>333</v>
      </c>
      <c r="AO18" s="38" t="s">
        <v>256</v>
      </c>
      <c r="AP18" s="38" t="s">
        <v>334</v>
      </c>
      <c r="AS18" s="37" t="s">
        <v>14</v>
      </c>
      <c r="AT18" s="38" t="s">
        <v>363</v>
      </c>
      <c r="AU18" s="38" t="s">
        <v>258</v>
      </c>
      <c r="AV18" s="38" t="s">
        <v>364</v>
      </c>
      <c r="AW18" s="14"/>
      <c r="AX18" s="37" t="s">
        <v>29</v>
      </c>
      <c r="AY18" s="38" t="s">
        <v>382</v>
      </c>
      <c r="AZ18" s="38" t="s">
        <v>212</v>
      </c>
      <c r="BA18" s="38" t="s">
        <v>383</v>
      </c>
      <c r="BD18" s="37" t="s">
        <v>14</v>
      </c>
      <c r="BE18" s="38" t="s">
        <v>400</v>
      </c>
      <c r="BF18" s="38" t="s">
        <v>401</v>
      </c>
      <c r="BG18" s="38" t="s">
        <v>95</v>
      </c>
      <c r="BH18" s="14"/>
      <c r="BI18" s="37" t="s">
        <v>29</v>
      </c>
      <c r="BJ18" s="38" t="s">
        <v>213</v>
      </c>
      <c r="BK18" s="38" t="s">
        <v>413</v>
      </c>
      <c r="BL18" s="38" t="s">
        <v>95</v>
      </c>
      <c r="BO18" s="37" t="s">
        <v>14</v>
      </c>
      <c r="BP18" s="38" t="s">
        <v>441</v>
      </c>
      <c r="BQ18" s="38" t="s">
        <v>442</v>
      </c>
      <c r="BR18" s="38" t="s">
        <v>443</v>
      </c>
      <c r="BS18" s="14"/>
      <c r="BT18" s="37" t="s">
        <v>29</v>
      </c>
      <c r="BU18" s="38" t="s">
        <v>282</v>
      </c>
      <c r="BV18" s="38" t="s">
        <v>459</v>
      </c>
      <c r="BW18" s="38" t="s">
        <v>460</v>
      </c>
      <c r="BZ18" s="37" t="s">
        <v>14</v>
      </c>
      <c r="CA18" s="38" t="s">
        <v>310</v>
      </c>
      <c r="CB18" s="38" t="s">
        <v>487</v>
      </c>
      <c r="CC18" s="38" t="s">
        <v>487</v>
      </c>
      <c r="CD18" s="14"/>
      <c r="CE18" s="37" t="s">
        <v>29</v>
      </c>
      <c r="CF18" s="38" t="s">
        <v>501</v>
      </c>
      <c r="CG18" s="38" t="s">
        <v>496</v>
      </c>
      <c r="CH18" s="38" t="s">
        <v>502</v>
      </c>
      <c r="CK18" s="37" t="s">
        <v>14</v>
      </c>
      <c r="CL18" s="38" t="s">
        <v>530</v>
      </c>
      <c r="CM18" s="38" t="s">
        <v>531</v>
      </c>
      <c r="CN18" s="38" t="s">
        <v>532</v>
      </c>
      <c r="CO18" s="14"/>
      <c r="CP18" s="37" t="s">
        <v>29</v>
      </c>
      <c r="CQ18" s="38" t="s">
        <v>382</v>
      </c>
      <c r="CR18" s="38" t="s">
        <v>545</v>
      </c>
      <c r="CS18" s="38" t="s">
        <v>546</v>
      </c>
    </row>
    <row r="19" spans="1:97" x14ac:dyDescent="0.35">
      <c r="A19" s="37" t="s">
        <v>15</v>
      </c>
      <c r="B19" s="38" t="s">
        <v>103</v>
      </c>
      <c r="C19" s="38" t="s">
        <v>104</v>
      </c>
      <c r="D19" s="38" t="s">
        <v>105</v>
      </c>
      <c r="E19" s="14"/>
      <c r="F19" s="37" t="s">
        <v>30</v>
      </c>
      <c r="G19" s="38" t="s">
        <v>135</v>
      </c>
      <c r="H19" s="38" t="s">
        <v>136</v>
      </c>
      <c r="I19" s="38" t="s">
        <v>137</v>
      </c>
      <c r="L19" s="37" t="s">
        <v>15</v>
      </c>
      <c r="M19" s="38" t="s">
        <v>182</v>
      </c>
      <c r="N19" s="38" t="s">
        <v>183</v>
      </c>
      <c r="O19" s="38" t="s">
        <v>184</v>
      </c>
      <c r="P19" s="14"/>
      <c r="Q19" s="37" t="s">
        <v>30</v>
      </c>
      <c r="R19" s="38" t="s">
        <v>215</v>
      </c>
      <c r="S19" s="38" t="s">
        <v>216</v>
      </c>
      <c r="T19" s="38" t="s">
        <v>217</v>
      </c>
      <c r="W19" s="37" t="s">
        <v>15</v>
      </c>
      <c r="X19" s="38" t="s">
        <v>260</v>
      </c>
      <c r="Y19" s="38" t="s">
        <v>261</v>
      </c>
      <c r="Z19" s="38" t="s">
        <v>262</v>
      </c>
      <c r="AA19" s="14"/>
      <c r="AB19" s="37" t="s">
        <v>30</v>
      </c>
      <c r="AC19" s="38" t="s">
        <v>282</v>
      </c>
      <c r="AD19" s="38" t="s">
        <v>283</v>
      </c>
      <c r="AE19" s="38" t="s">
        <v>284</v>
      </c>
      <c r="AH19" s="37" t="s">
        <v>15</v>
      </c>
      <c r="AI19" s="38" t="s">
        <v>311</v>
      </c>
      <c r="AJ19" s="38" t="s">
        <v>312</v>
      </c>
      <c r="AK19" s="38" t="s">
        <v>313</v>
      </c>
      <c r="AL19" s="14"/>
      <c r="AM19" s="37" t="s">
        <v>30</v>
      </c>
      <c r="AN19" s="38" t="s">
        <v>335</v>
      </c>
      <c r="AO19" s="38" t="s">
        <v>336</v>
      </c>
      <c r="AP19" s="38" t="s">
        <v>337</v>
      </c>
      <c r="AS19" s="37" t="s">
        <v>15</v>
      </c>
      <c r="AT19" s="38" t="s">
        <v>365</v>
      </c>
      <c r="AU19" s="38" t="s">
        <v>366</v>
      </c>
      <c r="AV19" s="38" t="s">
        <v>365</v>
      </c>
      <c r="AW19" s="14"/>
      <c r="AX19" s="37" t="s">
        <v>30</v>
      </c>
      <c r="AY19" s="38" t="s">
        <v>187</v>
      </c>
      <c r="AZ19" s="38" t="s">
        <v>219</v>
      </c>
      <c r="BA19" s="38" t="s">
        <v>384</v>
      </c>
      <c r="BD19" s="37" t="s">
        <v>15</v>
      </c>
      <c r="BE19" s="38" t="s">
        <v>402</v>
      </c>
      <c r="BF19" s="38" t="s">
        <v>402</v>
      </c>
      <c r="BG19" s="38" t="s">
        <v>95</v>
      </c>
      <c r="BH19" s="14"/>
      <c r="BI19" s="37" t="s">
        <v>30</v>
      </c>
      <c r="BJ19" s="38" t="s">
        <v>414</v>
      </c>
      <c r="BK19" s="38" t="s">
        <v>314</v>
      </c>
      <c r="BL19" s="38" t="s">
        <v>95</v>
      </c>
      <c r="BO19" s="37" t="s">
        <v>15</v>
      </c>
      <c r="BP19" s="38" t="s">
        <v>444</v>
      </c>
      <c r="BQ19" s="38" t="s">
        <v>445</v>
      </c>
      <c r="BR19" s="38" t="s">
        <v>444</v>
      </c>
      <c r="BS19" s="14"/>
      <c r="BT19" s="37" t="s">
        <v>30</v>
      </c>
      <c r="BU19" s="38" t="s">
        <v>461</v>
      </c>
      <c r="BV19" s="38" t="s">
        <v>462</v>
      </c>
      <c r="BW19" s="38" t="s">
        <v>463</v>
      </c>
      <c r="BZ19" s="37" t="s">
        <v>15</v>
      </c>
      <c r="CA19" s="38" t="s">
        <v>488</v>
      </c>
      <c r="CB19" s="38" t="s">
        <v>489</v>
      </c>
      <c r="CC19" s="38" t="s">
        <v>490</v>
      </c>
      <c r="CD19" s="14"/>
      <c r="CE19" s="37" t="s">
        <v>30</v>
      </c>
      <c r="CF19" s="38" t="s">
        <v>503</v>
      </c>
      <c r="CG19" s="38" t="s">
        <v>504</v>
      </c>
      <c r="CH19" s="38" t="s">
        <v>505</v>
      </c>
      <c r="CK19" s="37" t="s">
        <v>15</v>
      </c>
      <c r="CL19" s="38" t="s">
        <v>533</v>
      </c>
      <c r="CM19" s="38" t="s">
        <v>534</v>
      </c>
      <c r="CN19" s="38" t="s">
        <v>535</v>
      </c>
      <c r="CO19" s="14"/>
      <c r="CP19" s="37" t="s">
        <v>30</v>
      </c>
      <c r="CQ19" s="38" t="s">
        <v>128</v>
      </c>
      <c r="CR19" s="38" t="s">
        <v>547</v>
      </c>
      <c r="CS19" s="38" t="s">
        <v>548</v>
      </c>
    </row>
    <row r="20" spans="1:97" x14ac:dyDescent="0.35">
      <c r="A20" s="60" t="s">
        <v>66</v>
      </c>
      <c r="B20" s="61"/>
      <c r="C20" s="61"/>
      <c r="D20" s="61"/>
      <c r="E20" s="61"/>
      <c r="F20" s="61"/>
      <c r="G20" s="61"/>
      <c r="H20" s="61"/>
      <c r="I20" s="62"/>
      <c r="L20" s="60" t="s">
        <v>66</v>
      </c>
      <c r="M20" s="61"/>
      <c r="N20" s="61"/>
      <c r="O20" s="61"/>
      <c r="P20" s="61"/>
      <c r="Q20" s="61"/>
      <c r="R20" s="61"/>
      <c r="S20" s="61"/>
      <c r="T20" s="62"/>
      <c r="W20" s="60" t="s">
        <v>66</v>
      </c>
      <c r="X20" s="61"/>
      <c r="Y20" s="61"/>
      <c r="Z20" s="61"/>
      <c r="AA20" s="61"/>
      <c r="AB20" s="61"/>
      <c r="AC20" s="61"/>
      <c r="AD20" s="61"/>
      <c r="AE20" s="62"/>
      <c r="AH20" s="60" t="s">
        <v>66</v>
      </c>
      <c r="AI20" s="61"/>
      <c r="AJ20" s="61"/>
      <c r="AK20" s="61"/>
      <c r="AL20" s="61"/>
      <c r="AM20" s="61"/>
      <c r="AN20" s="61"/>
      <c r="AO20" s="61"/>
      <c r="AP20" s="62"/>
      <c r="AS20" s="60" t="s">
        <v>66</v>
      </c>
      <c r="AT20" s="61"/>
      <c r="AU20" s="61"/>
      <c r="AV20" s="61"/>
      <c r="AW20" s="61"/>
      <c r="AX20" s="61"/>
      <c r="AY20" s="61"/>
      <c r="AZ20" s="61"/>
      <c r="BA20" s="62"/>
      <c r="BD20" s="60" t="s">
        <v>66</v>
      </c>
      <c r="BE20" s="61"/>
      <c r="BF20" s="61"/>
      <c r="BG20" s="61"/>
      <c r="BH20" s="61"/>
      <c r="BI20" s="61"/>
      <c r="BJ20" s="61"/>
      <c r="BK20" s="61"/>
      <c r="BL20" s="62"/>
      <c r="BO20" s="60" t="s">
        <v>66</v>
      </c>
      <c r="BP20" s="61"/>
      <c r="BQ20" s="61"/>
      <c r="BR20" s="61"/>
      <c r="BS20" s="61"/>
      <c r="BT20" s="61"/>
      <c r="BU20" s="61"/>
      <c r="BV20" s="61"/>
      <c r="BW20" s="62"/>
      <c r="BZ20" s="60" t="s">
        <v>66</v>
      </c>
      <c r="CA20" s="61"/>
      <c r="CB20" s="61"/>
      <c r="CC20" s="61"/>
      <c r="CD20" s="61"/>
      <c r="CE20" s="61"/>
      <c r="CF20" s="61"/>
      <c r="CG20" s="61"/>
      <c r="CH20" s="62"/>
      <c r="CK20" s="60" t="s">
        <v>66</v>
      </c>
      <c r="CL20" s="61"/>
      <c r="CM20" s="61"/>
      <c r="CN20" s="61"/>
      <c r="CO20" s="61"/>
      <c r="CP20" s="61"/>
      <c r="CQ20" s="61"/>
      <c r="CR20" s="61"/>
      <c r="CS20" s="62"/>
    </row>
    <row r="21" spans="1:97" x14ac:dyDescent="0.35">
      <c r="A21" s="63"/>
      <c r="B21" s="64"/>
      <c r="C21" s="64"/>
      <c r="D21" s="64"/>
      <c r="E21" s="64"/>
      <c r="F21" s="64"/>
      <c r="G21" s="64"/>
      <c r="H21" s="64"/>
      <c r="I21" s="65"/>
      <c r="L21" s="63"/>
      <c r="M21" s="64"/>
      <c r="N21" s="64"/>
      <c r="O21" s="64"/>
      <c r="P21" s="64"/>
      <c r="Q21" s="64"/>
      <c r="R21" s="64"/>
      <c r="S21" s="64"/>
      <c r="T21" s="65"/>
      <c r="W21" s="63"/>
      <c r="X21" s="64"/>
      <c r="Y21" s="64"/>
      <c r="Z21" s="64"/>
      <c r="AA21" s="64"/>
      <c r="AB21" s="64"/>
      <c r="AC21" s="64"/>
      <c r="AD21" s="64"/>
      <c r="AE21" s="65"/>
      <c r="AH21" s="63"/>
      <c r="AI21" s="64"/>
      <c r="AJ21" s="64"/>
      <c r="AK21" s="64"/>
      <c r="AL21" s="64"/>
      <c r="AM21" s="64"/>
      <c r="AN21" s="64"/>
      <c r="AO21" s="64"/>
      <c r="AP21" s="65"/>
      <c r="AS21" s="63"/>
      <c r="AT21" s="64"/>
      <c r="AU21" s="64"/>
      <c r="AV21" s="64"/>
      <c r="AW21" s="64"/>
      <c r="AX21" s="64"/>
      <c r="AY21" s="64"/>
      <c r="AZ21" s="64"/>
      <c r="BA21" s="65"/>
      <c r="BD21" s="63"/>
      <c r="BE21" s="64"/>
      <c r="BF21" s="64"/>
      <c r="BG21" s="64"/>
      <c r="BH21" s="64"/>
      <c r="BI21" s="64"/>
      <c r="BJ21" s="64"/>
      <c r="BK21" s="64"/>
      <c r="BL21" s="65"/>
      <c r="BO21" s="63"/>
      <c r="BP21" s="64"/>
      <c r="BQ21" s="64"/>
      <c r="BR21" s="64"/>
      <c r="BS21" s="64"/>
      <c r="BT21" s="64"/>
      <c r="BU21" s="64"/>
      <c r="BV21" s="64"/>
      <c r="BW21" s="65"/>
      <c r="BZ21" s="63"/>
      <c r="CA21" s="64"/>
      <c r="CB21" s="64"/>
      <c r="CC21" s="64"/>
      <c r="CD21" s="64"/>
      <c r="CE21" s="64"/>
      <c r="CF21" s="64"/>
      <c r="CG21" s="64"/>
      <c r="CH21" s="65"/>
      <c r="CK21" s="63"/>
      <c r="CL21" s="64"/>
      <c r="CM21" s="64"/>
      <c r="CN21" s="64"/>
      <c r="CO21" s="64"/>
      <c r="CP21" s="64"/>
      <c r="CQ21" s="64"/>
      <c r="CR21" s="64"/>
      <c r="CS21" s="65"/>
    </row>
    <row r="22" spans="1:97" ht="14.4" customHeight="1" x14ac:dyDescent="0.35">
      <c r="A22" s="54" t="s">
        <v>33</v>
      </c>
      <c r="B22" s="67"/>
      <c r="C22" s="67"/>
      <c r="D22" s="55"/>
      <c r="E22" s="14"/>
      <c r="F22" s="54" t="s">
        <v>40</v>
      </c>
      <c r="G22" s="67"/>
      <c r="H22" s="67"/>
      <c r="I22" s="55"/>
      <c r="L22" s="66" t="s">
        <v>33</v>
      </c>
      <c r="M22" s="66"/>
      <c r="N22" s="66"/>
      <c r="O22" s="66"/>
      <c r="P22" s="14"/>
      <c r="Q22" s="66" t="s">
        <v>40</v>
      </c>
      <c r="R22" s="66"/>
      <c r="S22" s="66"/>
      <c r="T22" s="66"/>
      <c r="W22" s="66" t="s">
        <v>33</v>
      </c>
      <c r="X22" s="66"/>
      <c r="Y22" s="66"/>
      <c r="Z22" s="66"/>
      <c r="AA22" s="14"/>
      <c r="AB22" s="66" t="s">
        <v>40</v>
      </c>
      <c r="AC22" s="66"/>
      <c r="AD22" s="66"/>
      <c r="AE22" s="66"/>
      <c r="AH22" s="66" t="s">
        <v>33</v>
      </c>
      <c r="AI22" s="66"/>
      <c r="AJ22" s="66"/>
      <c r="AK22" s="66"/>
      <c r="AL22" s="14"/>
      <c r="AM22" s="66" t="s">
        <v>40</v>
      </c>
      <c r="AN22" s="66"/>
      <c r="AO22" s="66"/>
      <c r="AP22" s="66"/>
      <c r="AS22" s="66" t="s">
        <v>33</v>
      </c>
      <c r="AT22" s="66"/>
      <c r="AU22" s="66"/>
      <c r="AV22" s="66"/>
      <c r="AW22" s="14"/>
      <c r="AX22" s="66" t="s">
        <v>40</v>
      </c>
      <c r="AY22" s="66"/>
      <c r="AZ22" s="66"/>
      <c r="BA22" s="66"/>
      <c r="BD22" s="66" t="s">
        <v>33</v>
      </c>
      <c r="BE22" s="66"/>
      <c r="BF22" s="66"/>
      <c r="BG22" s="66"/>
      <c r="BH22" s="14"/>
      <c r="BI22" s="66" t="s">
        <v>40</v>
      </c>
      <c r="BJ22" s="66"/>
      <c r="BK22" s="66"/>
      <c r="BL22" s="66"/>
      <c r="BO22" s="66" t="s">
        <v>33</v>
      </c>
      <c r="BP22" s="66"/>
      <c r="BQ22" s="66"/>
      <c r="BR22" s="66"/>
      <c r="BS22" s="14"/>
      <c r="BT22" s="66" t="s">
        <v>40</v>
      </c>
      <c r="BU22" s="66"/>
      <c r="BV22" s="66"/>
      <c r="BW22" s="66"/>
      <c r="BZ22" s="66" t="s">
        <v>33</v>
      </c>
      <c r="CA22" s="66"/>
      <c r="CB22" s="66"/>
      <c r="CC22" s="66"/>
      <c r="CD22" s="14"/>
      <c r="CE22" s="66" t="s">
        <v>40</v>
      </c>
      <c r="CF22" s="66"/>
      <c r="CG22" s="66"/>
      <c r="CH22" s="66"/>
      <c r="CK22" s="66" t="s">
        <v>33</v>
      </c>
      <c r="CL22" s="66"/>
      <c r="CM22" s="66"/>
      <c r="CN22" s="66"/>
      <c r="CO22" s="14"/>
      <c r="CP22" s="66" t="s">
        <v>40</v>
      </c>
      <c r="CQ22" s="66"/>
      <c r="CR22" s="66"/>
      <c r="CS22" s="66"/>
    </row>
    <row r="23" spans="1:97" x14ac:dyDescent="0.35">
      <c r="A23" s="68" t="s">
        <v>34</v>
      </c>
      <c r="B23" s="69"/>
      <c r="C23" s="68" t="s">
        <v>35</v>
      </c>
      <c r="D23" s="69"/>
      <c r="E23" s="18"/>
      <c r="F23" s="68" t="s">
        <v>34</v>
      </c>
      <c r="G23" s="69"/>
      <c r="H23" s="68" t="s">
        <v>35</v>
      </c>
      <c r="I23" s="69"/>
      <c r="L23" s="74" t="s">
        <v>34</v>
      </c>
      <c r="M23" s="74"/>
      <c r="N23" s="74" t="s">
        <v>35</v>
      </c>
      <c r="O23" s="74"/>
      <c r="P23" s="18"/>
      <c r="Q23" s="74" t="s">
        <v>34</v>
      </c>
      <c r="R23" s="74"/>
      <c r="S23" s="74" t="s">
        <v>35</v>
      </c>
      <c r="T23" s="74"/>
      <c r="W23" s="74" t="s">
        <v>34</v>
      </c>
      <c r="X23" s="74"/>
      <c r="Y23" s="74" t="s">
        <v>35</v>
      </c>
      <c r="Z23" s="74"/>
      <c r="AA23" s="18"/>
      <c r="AB23" s="74" t="s">
        <v>34</v>
      </c>
      <c r="AC23" s="74"/>
      <c r="AD23" s="74" t="s">
        <v>35</v>
      </c>
      <c r="AE23" s="74"/>
      <c r="AH23" s="74" t="s">
        <v>34</v>
      </c>
      <c r="AI23" s="74"/>
      <c r="AJ23" s="74" t="s">
        <v>35</v>
      </c>
      <c r="AK23" s="74"/>
      <c r="AL23" s="18"/>
      <c r="AM23" s="74" t="s">
        <v>34</v>
      </c>
      <c r="AN23" s="74"/>
      <c r="AO23" s="74" t="s">
        <v>35</v>
      </c>
      <c r="AP23" s="74"/>
      <c r="AS23" s="74" t="s">
        <v>34</v>
      </c>
      <c r="AT23" s="74"/>
      <c r="AU23" s="74" t="s">
        <v>35</v>
      </c>
      <c r="AV23" s="74"/>
      <c r="AW23" s="18"/>
      <c r="AX23" s="74" t="s">
        <v>34</v>
      </c>
      <c r="AY23" s="74"/>
      <c r="AZ23" s="74" t="s">
        <v>35</v>
      </c>
      <c r="BA23" s="74"/>
      <c r="BD23" s="74" t="s">
        <v>34</v>
      </c>
      <c r="BE23" s="74"/>
      <c r="BF23" s="74" t="s">
        <v>35</v>
      </c>
      <c r="BG23" s="74"/>
      <c r="BH23" s="18"/>
      <c r="BI23" s="74" t="s">
        <v>34</v>
      </c>
      <c r="BJ23" s="74"/>
      <c r="BK23" s="74" t="s">
        <v>35</v>
      </c>
      <c r="BL23" s="74"/>
      <c r="BO23" s="74" t="s">
        <v>34</v>
      </c>
      <c r="BP23" s="74"/>
      <c r="BQ23" s="74" t="s">
        <v>35</v>
      </c>
      <c r="BR23" s="74"/>
      <c r="BS23" s="18"/>
      <c r="BT23" s="74" t="s">
        <v>34</v>
      </c>
      <c r="BU23" s="74"/>
      <c r="BV23" s="74" t="s">
        <v>35</v>
      </c>
      <c r="BW23" s="74"/>
      <c r="BZ23" s="74" t="s">
        <v>34</v>
      </c>
      <c r="CA23" s="74"/>
      <c r="CB23" s="74" t="s">
        <v>35</v>
      </c>
      <c r="CC23" s="74"/>
      <c r="CD23" s="18"/>
      <c r="CE23" s="74" t="s">
        <v>34</v>
      </c>
      <c r="CF23" s="74"/>
      <c r="CG23" s="74" t="s">
        <v>35</v>
      </c>
      <c r="CH23" s="74"/>
      <c r="CK23" s="74" t="s">
        <v>34</v>
      </c>
      <c r="CL23" s="74"/>
      <c r="CM23" s="74" t="s">
        <v>35</v>
      </c>
      <c r="CN23" s="74"/>
      <c r="CO23" s="18"/>
      <c r="CP23" s="74" t="s">
        <v>34</v>
      </c>
      <c r="CQ23" s="74"/>
      <c r="CR23" s="74" t="s">
        <v>35</v>
      </c>
      <c r="CS23" s="74"/>
    </row>
    <row r="24" spans="1:97" x14ac:dyDescent="0.35">
      <c r="A24" s="42" t="s">
        <v>8</v>
      </c>
      <c r="B24" s="43" t="s">
        <v>84</v>
      </c>
      <c r="C24" s="42">
        <v>4</v>
      </c>
      <c r="D24" s="44" t="s">
        <v>36</v>
      </c>
      <c r="E24" s="18"/>
      <c r="F24" s="42" t="s">
        <v>41</v>
      </c>
      <c r="G24" s="45" t="s">
        <v>107</v>
      </c>
      <c r="H24" s="42">
        <v>4</v>
      </c>
      <c r="I24" s="44" t="s">
        <v>36</v>
      </c>
      <c r="L24" s="42" t="s">
        <v>8</v>
      </c>
      <c r="M24" s="43" t="s">
        <v>164</v>
      </c>
      <c r="N24" s="42">
        <v>1</v>
      </c>
      <c r="O24" s="44" t="s">
        <v>218</v>
      </c>
      <c r="P24" s="18"/>
      <c r="Q24" s="42" t="s">
        <v>41</v>
      </c>
      <c r="R24" s="45" t="s">
        <v>186</v>
      </c>
      <c r="S24" s="42">
        <v>2</v>
      </c>
      <c r="T24" s="44" t="s">
        <v>43</v>
      </c>
      <c r="W24" s="42" t="s">
        <v>8</v>
      </c>
      <c r="X24" s="43" t="s">
        <v>242</v>
      </c>
      <c r="Y24" s="42">
        <v>0</v>
      </c>
      <c r="Z24" s="44" t="s">
        <v>285</v>
      </c>
      <c r="AA24" s="18"/>
      <c r="AB24" s="42" t="s">
        <v>41</v>
      </c>
      <c r="AC24" s="45" t="s">
        <v>126</v>
      </c>
      <c r="AD24" s="42">
        <v>0</v>
      </c>
      <c r="AE24" s="44" t="s">
        <v>285</v>
      </c>
      <c r="AH24" s="42" t="s">
        <v>8</v>
      </c>
      <c r="AI24" s="43" t="s">
        <v>300</v>
      </c>
      <c r="AJ24" s="42">
        <v>0</v>
      </c>
      <c r="AK24" s="44" t="s">
        <v>285</v>
      </c>
      <c r="AL24" s="18"/>
      <c r="AM24" s="42" t="s">
        <v>41</v>
      </c>
      <c r="AN24" s="45" t="s">
        <v>208</v>
      </c>
      <c r="AO24" s="42">
        <v>4</v>
      </c>
      <c r="AP24" s="44" t="s">
        <v>36</v>
      </c>
      <c r="AS24" s="42" t="s">
        <v>8</v>
      </c>
      <c r="AT24" s="43" t="s">
        <v>353</v>
      </c>
      <c r="AU24" s="42">
        <v>0</v>
      </c>
      <c r="AV24" s="44" t="s">
        <v>285</v>
      </c>
      <c r="AW24" s="18"/>
      <c r="AX24" s="42" t="s">
        <v>41</v>
      </c>
      <c r="AY24" s="45" t="s">
        <v>367</v>
      </c>
      <c r="AZ24" s="42">
        <v>4</v>
      </c>
      <c r="BA24" s="44" t="s">
        <v>36</v>
      </c>
      <c r="BD24" s="42" t="s">
        <v>8</v>
      </c>
      <c r="BE24" s="43" t="s">
        <v>395</v>
      </c>
      <c r="BF24" s="42">
        <v>0</v>
      </c>
      <c r="BG24" s="44" t="s">
        <v>285</v>
      </c>
      <c r="BH24" s="18"/>
      <c r="BI24" s="42" t="s">
        <v>41</v>
      </c>
      <c r="BJ24" s="45" t="s">
        <v>100</v>
      </c>
      <c r="BK24" s="42">
        <v>4</v>
      </c>
      <c r="BL24" s="44" t="s">
        <v>36</v>
      </c>
      <c r="BO24" s="42" t="s">
        <v>8</v>
      </c>
      <c r="BP24" s="43" t="s">
        <v>430</v>
      </c>
      <c r="BQ24" s="42">
        <v>0</v>
      </c>
      <c r="BR24" s="44" t="s">
        <v>285</v>
      </c>
      <c r="BS24" s="18"/>
      <c r="BT24" s="42" t="s">
        <v>41</v>
      </c>
      <c r="BU24" s="45" t="s">
        <v>447</v>
      </c>
      <c r="BV24" s="42">
        <v>0</v>
      </c>
      <c r="BW24" s="44" t="s">
        <v>285</v>
      </c>
      <c r="BZ24" s="42" t="s">
        <v>8</v>
      </c>
      <c r="CA24" s="43" t="s">
        <v>478</v>
      </c>
      <c r="CB24" s="42">
        <v>0</v>
      </c>
      <c r="CC24" s="44" t="s">
        <v>285</v>
      </c>
      <c r="CD24" s="18"/>
      <c r="CE24" s="42" t="s">
        <v>41</v>
      </c>
      <c r="CF24" s="45" t="s">
        <v>130</v>
      </c>
      <c r="CG24" s="42">
        <v>4</v>
      </c>
      <c r="CH24" s="44" t="s">
        <v>36</v>
      </c>
      <c r="CK24" s="42" t="s">
        <v>8</v>
      </c>
      <c r="CL24" s="43" t="s">
        <v>521</v>
      </c>
      <c r="CM24" s="42">
        <v>0</v>
      </c>
      <c r="CN24" s="44" t="s">
        <v>285</v>
      </c>
      <c r="CO24" s="18"/>
      <c r="CP24" s="42" t="s">
        <v>41</v>
      </c>
      <c r="CQ24" s="45" t="s">
        <v>320</v>
      </c>
      <c r="CR24" s="42">
        <v>3</v>
      </c>
      <c r="CS24" s="44" t="s">
        <v>38</v>
      </c>
    </row>
    <row r="25" spans="1:97" x14ac:dyDescent="0.35">
      <c r="A25" s="42" t="s">
        <v>37</v>
      </c>
      <c r="B25" s="43" t="s">
        <v>93</v>
      </c>
      <c r="C25" s="42">
        <v>3</v>
      </c>
      <c r="D25" s="44" t="s">
        <v>38</v>
      </c>
      <c r="E25" s="18"/>
      <c r="F25" s="42" t="s">
        <v>42</v>
      </c>
      <c r="G25" s="45" t="s">
        <v>113</v>
      </c>
      <c r="H25" s="42">
        <v>2</v>
      </c>
      <c r="I25" s="44" t="s">
        <v>43</v>
      </c>
      <c r="L25" s="42" t="s">
        <v>37</v>
      </c>
      <c r="M25" s="43" t="s">
        <v>173</v>
      </c>
      <c r="N25" s="42">
        <v>1</v>
      </c>
      <c r="O25" s="44" t="s">
        <v>218</v>
      </c>
      <c r="P25" s="18"/>
      <c r="Q25" s="42" t="s">
        <v>42</v>
      </c>
      <c r="R25" s="45" t="s">
        <v>192</v>
      </c>
      <c r="S25" s="42">
        <v>2</v>
      </c>
      <c r="T25" s="44" t="s">
        <v>43</v>
      </c>
      <c r="W25" s="42" t="s">
        <v>37</v>
      </c>
      <c r="X25" s="43" t="s">
        <v>251</v>
      </c>
      <c r="Y25" s="42">
        <v>1</v>
      </c>
      <c r="Z25" s="44" t="s">
        <v>218</v>
      </c>
      <c r="AA25" s="18"/>
      <c r="AB25" s="42" t="s">
        <v>42</v>
      </c>
      <c r="AC25" s="45" t="s">
        <v>269</v>
      </c>
      <c r="AD25" s="42">
        <v>0</v>
      </c>
      <c r="AE25" s="44" t="s">
        <v>285</v>
      </c>
      <c r="AH25" s="42" t="s">
        <v>37</v>
      </c>
      <c r="AI25" s="43" t="s">
        <v>303</v>
      </c>
      <c r="AJ25" s="42">
        <v>1</v>
      </c>
      <c r="AK25" s="44" t="s">
        <v>218</v>
      </c>
      <c r="AL25" s="18"/>
      <c r="AM25" s="42" t="s">
        <v>42</v>
      </c>
      <c r="AN25" s="45" t="s">
        <v>318</v>
      </c>
      <c r="AO25" s="42">
        <v>3</v>
      </c>
      <c r="AP25" s="44" t="s">
        <v>38</v>
      </c>
      <c r="AS25" s="42" t="s">
        <v>37</v>
      </c>
      <c r="AT25" s="43" t="s">
        <v>355</v>
      </c>
      <c r="AU25" s="42">
        <v>4</v>
      </c>
      <c r="AV25" s="44" t="s">
        <v>36</v>
      </c>
      <c r="AW25" s="18"/>
      <c r="AX25" s="42" t="s">
        <v>42</v>
      </c>
      <c r="AY25" s="45" t="s">
        <v>332</v>
      </c>
      <c r="AZ25" s="42">
        <v>3</v>
      </c>
      <c r="BA25" s="44" t="s">
        <v>38</v>
      </c>
      <c r="BD25" s="42" t="s">
        <v>37</v>
      </c>
      <c r="BE25" s="43" t="s">
        <v>397</v>
      </c>
      <c r="BF25" s="42">
        <v>0</v>
      </c>
      <c r="BG25" s="44" t="s">
        <v>285</v>
      </c>
      <c r="BH25" s="18"/>
      <c r="BI25" s="42" t="s">
        <v>42</v>
      </c>
      <c r="BJ25" s="45" t="s">
        <v>407</v>
      </c>
      <c r="BK25" s="42">
        <v>3</v>
      </c>
      <c r="BL25" s="44" t="s">
        <v>38</v>
      </c>
      <c r="BO25" s="42" t="s">
        <v>37</v>
      </c>
      <c r="BP25" s="43" t="s">
        <v>433</v>
      </c>
      <c r="BQ25" s="42">
        <v>0</v>
      </c>
      <c r="BR25" s="44" t="s">
        <v>285</v>
      </c>
      <c r="BS25" s="18"/>
      <c r="BT25" s="42" t="s">
        <v>42</v>
      </c>
      <c r="BU25" s="45" t="s">
        <v>453</v>
      </c>
      <c r="BV25" s="42">
        <v>1</v>
      </c>
      <c r="BW25" s="44" t="s">
        <v>218</v>
      </c>
      <c r="BZ25" s="42" t="s">
        <v>37</v>
      </c>
      <c r="CA25" s="43" t="s">
        <v>481</v>
      </c>
      <c r="CB25" s="42">
        <v>1</v>
      </c>
      <c r="CC25" s="44" t="s">
        <v>218</v>
      </c>
      <c r="CD25" s="18"/>
      <c r="CE25" s="42" t="s">
        <v>42</v>
      </c>
      <c r="CF25" s="45" t="s">
        <v>496</v>
      </c>
      <c r="CG25" s="42">
        <v>2</v>
      </c>
      <c r="CH25" s="44" t="s">
        <v>43</v>
      </c>
      <c r="CK25" s="42" t="s">
        <v>37</v>
      </c>
      <c r="CL25" s="43" t="s">
        <v>524</v>
      </c>
      <c r="CM25" s="42">
        <v>2</v>
      </c>
      <c r="CN25" s="44" t="s">
        <v>43</v>
      </c>
      <c r="CO25" s="18"/>
      <c r="CP25" s="42" t="s">
        <v>42</v>
      </c>
      <c r="CQ25" s="45" t="s">
        <v>539</v>
      </c>
      <c r="CR25" s="42">
        <v>2</v>
      </c>
      <c r="CS25" s="44" t="s">
        <v>43</v>
      </c>
    </row>
    <row r="26" spans="1:97" x14ac:dyDescent="0.35">
      <c r="A26" s="42" t="s">
        <v>12</v>
      </c>
      <c r="B26" s="43" t="s">
        <v>97</v>
      </c>
      <c r="C26" s="42">
        <v>4</v>
      </c>
      <c r="D26" s="44" t="s">
        <v>36</v>
      </c>
      <c r="E26" s="18"/>
      <c r="F26" s="42" t="s">
        <v>13</v>
      </c>
      <c r="G26" s="45" t="s">
        <v>99</v>
      </c>
      <c r="H26" s="42">
        <v>4</v>
      </c>
      <c r="I26" s="44" t="s">
        <v>36</v>
      </c>
      <c r="L26" s="42" t="s">
        <v>12</v>
      </c>
      <c r="M26" s="43" t="s">
        <v>176</v>
      </c>
      <c r="N26" s="42">
        <v>1</v>
      </c>
      <c r="O26" s="44" t="s">
        <v>218</v>
      </c>
      <c r="P26" s="18"/>
      <c r="Q26" s="42" t="s">
        <v>13</v>
      </c>
      <c r="R26" s="45" t="s">
        <v>178</v>
      </c>
      <c r="S26" s="42">
        <v>2</v>
      </c>
      <c r="T26" s="44" t="s">
        <v>43</v>
      </c>
      <c r="W26" s="42" t="s">
        <v>12</v>
      </c>
      <c r="X26" s="43" t="s">
        <v>254</v>
      </c>
      <c r="Y26" s="42">
        <v>0</v>
      </c>
      <c r="Z26" s="44" t="s">
        <v>285</v>
      </c>
      <c r="AA26" s="18"/>
      <c r="AB26" s="42" t="s">
        <v>13</v>
      </c>
      <c r="AC26" s="45" t="s">
        <v>216</v>
      </c>
      <c r="AD26" s="42">
        <v>1</v>
      </c>
      <c r="AE26" s="44" t="s">
        <v>285</v>
      </c>
      <c r="AH26" s="42" t="s">
        <v>12</v>
      </c>
      <c r="AI26" s="43" t="s">
        <v>306</v>
      </c>
      <c r="AJ26" s="42">
        <v>0</v>
      </c>
      <c r="AK26" s="44" t="s">
        <v>285</v>
      </c>
      <c r="AL26" s="18"/>
      <c r="AM26" s="42" t="s">
        <v>13</v>
      </c>
      <c r="AN26" s="45" t="s">
        <v>120</v>
      </c>
      <c r="AO26" s="42">
        <v>4</v>
      </c>
      <c r="AP26" s="44" t="s">
        <v>36</v>
      </c>
      <c r="AS26" s="42" t="s">
        <v>12</v>
      </c>
      <c r="AT26" s="43" t="s">
        <v>358</v>
      </c>
      <c r="AU26" s="42">
        <v>0</v>
      </c>
      <c r="AV26" s="44" t="s">
        <v>285</v>
      </c>
      <c r="AW26" s="18"/>
      <c r="AX26" s="42" t="s">
        <v>13</v>
      </c>
      <c r="AY26" s="45" t="s">
        <v>361</v>
      </c>
      <c r="AZ26" s="42">
        <v>4</v>
      </c>
      <c r="BA26" s="44" t="s">
        <v>36</v>
      </c>
      <c r="BD26" s="42" t="s">
        <v>12</v>
      </c>
      <c r="BE26" s="43" t="s">
        <v>399</v>
      </c>
      <c r="BF26" s="42">
        <v>0</v>
      </c>
      <c r="BG26" s="44" t="s">
        <v>285</v>
      </c>
      <c r="BH26" s="18"/>
      <c r="BI26" s="42" t="s">
        <v>13</v>
      </c>
      <c r="BJ26" s="45" t="s">
        <v>119</v>
      </c>
      <c r="BK26" s="42">
        <v>4</v>
      </c>
      <c r="BL26" s="44" t="s">
        <v>36</v>
      </c>
      <c r="BO26" s="42" t="s">
        <v>12</v>
      </c>
      <c r="BP26" s="43" t="s">
        <v>436</v>
      </c>
      <c r="BQ26" s="42">
        <v>0</v>
      </c>
      <c r="BR26" s="44" t="s">
        <v>285</v>
      </c>
      <c r="BS26" s="18"/>
      <c r="BT26" s="42" t="s">
        <v>13</v>
      </c>
      <c r="BU26" s="45" t="s">
        <v>439</v>
      </c>
      <c r="BV26" s="42">
        <v>0</v>
      </c>
      <c r="BW26" s="44" t="s">
        <v>285</v>
      </c>
      <c r="BZ26" s="42" t="s">
        <v>12</v>
      </c>
      <c r="CA26" s="43" t="s">
        <v>484</v>
      </c>
      <c r="CB26" s="42">
        <v>1</v>
      </c>
      <c r="CC26" s="44" t="s">
        <v>218</v>
      </c>
      <c r="CD26" s="18"/>
      <c r="CE26" s="42" t="s">
        <v>13</v>
      </c>
      <c r="CF26" s="45" t="s">
        <v>486</v>
      </c>
      <c r="CG26" s="42">
        <v>4</v>
      </c>
      <c r="CH26" s="44" t="s">
        <v>36</v>
      </c>
      <c r="CK26" s="42" t="s">
        <v>12</v>
      </c>
      <c r="CL26" s="43" t="s">
        <v>527</v>
      </c>
      <c r="CM26" s="42">
        <v>0</v>
      </c>
      <c r="CN26" s="44" t="s">
        <v>285</v>
      </c>
      <c r="CO26" s="18"/>
      <c r="CP26" s="42" t="s">
        <v>13</v>
      </c>
      <c r="CQ26" s="45" t="s">
        <v>529</v>
      </c>
      <c r="CR26" s="42">
        <v>3</v>
      </c>
      <c r="CS26" s="44" t="s">
        <v>38</v>
      </c>
    </row>
    <row r="27" spans="1:97" x14ac:dyDescent="0.35">
      <c r="A27" s="42" t="s">
        <v>39</v>
      </c>
      <c r="B27" s="43" t="s">
        <v>130</v>
      </c>
      <c r="C27" s="42">
        <v>3</v>
      </c>
      <c r="D27" s="44" t="s">
        <v>38</v>
      </c>
      <c r="E27" s="18"/>
      <c r="F27" s="42" t="s">
        <v>44</v>
      </c>
      <c r="G27" s="45" t="s">
        <v>119</v>
      </c>
      <c r="H27" s="42">
        <v>4</v>
      </c>
      <c r="I27" s="44" t="s">
        <v>36</v>
      </c>
      <c r="L27" s="42" t="s">
        <v>39</v>
      </c>
      <c r="M27" s="43" t="s">
        <v>210</v>
      </c>
      <c r="N27" s="42">
        <v>1</v>
      </c>
      <c r="O27" s="44" t="s">
        <v>218</v>
      </c>
      <c r="P27" s="18"/>
      <c r="Q27" s="42" t="s">
        <v>44</v>
      </c>
      <c r="R27" s="45" t="s">
        <v>200</v>
      </c>
      <c r="S27" s="42">
        <v>3</v>
      </c>
      <c r="T27" s="44" t="s">
        <v>38</v>
      </c>
      <c r="W27" s="42" t="s">
        <v>39</v>
      </c>
      <c r="X27" s="43" t="s">
        <v>201</v>
      </c>
      <c r="Y27" s="42">
        <v>0</v>
      </c>
      <c r="Z27" s="44" t="s">
        <v>285</v>
      </c>
      <c r="AA27" s="18"/>
      <c r="AB27" s="42" t="s">
        <v>44</v>
      </c>
      <c r="AC27" s="45" t="s">
        <v>272</v>
      </c>
      <c r="AD27" s="42">
        <v>0</v>
      </c>
      <c r="AE27" s="44" t="s">
        <v>285</v>
      </c>
      <c r="AH27" s="42" t="s">
        <v>39</v>
      </c>
      <c r="AI27" s="43" t="s">
        <v>331</v>
      </c>
      <c r="AJ27" s="42">
        <v>0</v>
      </c>
      <c r="AK27" s="44" t="s">
        <v>285</v>
      </c>
      <c r="AL27" s="18"/>
      <c r="AM27" s="42" t="s">
        <v>44</v>
      </c>
      <c r="AN27" s="45" t="s">
        <v>119</v>
      </c>
      <c r="AO27" s="42">
        <v>4</v>
      </c>
      <c r="AP27" s="44" t="s">
        <v>36</v>
      </c>
      <c r="AS27" s="42" t="s">
        <v>39</v>
      </c>
      <c r="AT27" s="43" t="s">
        <v>272</v>
      </c>
      <c r="AU27" s="42">
        <v>0</v>
      </c>
      <c r="AV27" s="44" t="s">
        <v>285</v>
      </c>
      <c r="AW27" s="18"/>
      <c r="AX27" s="42" t="s">
        <v>44</v>
      </c>
      <c r="AY27" s="45" t="s">
        <v>376</v>
      </c>
      <c r="AZ27" s="42">
        <v>4</v>
      </c>
      <c r="BA27" s="44" t="s">
        <v>36</v>
      </c>
      <c r="BD27" s="42" t="s">
        <v>39</v>
      </c>
      <c r="BE27" s="43" t="s">
        <v>412</v>
      </c>
      <c r="BF27" s="42">
        <v>0</v>
      </c>
      <c r="BG27" s="44" t="s">
        <v>285</v>
      </c>
      <c r="BH27" s="18"/>
      <c r="BI27" s="42" t="s">
        <v>44</v>
      </c>
      <c r="BJ27" s="45" t="s">
        <v>408</v>
      </c>
      <c r="BK27" s="42">
        <v>4</v>
      </c>
      <c r="BL27" s="44" t="s">
        <v>36</v>
      </c>
      <c r="BO27" s="42" t="s">
        <v>39</v>
      </c>
      <c r="BP27" s="43" t="s">
        <v>208</v>
      </c>
      <c r="BQ27" s="42">
        <v>2</v>
      </c>
      <c r="BR27" s="44" t="s">
        <v>43</v>
      </c>
      <c r="BS27" s="18"/>
      <c r="BT27" s="42" t="s">
        <v>44</v>
      </c>
      <c r="BU27" s="45" t="s">
        <v>374</v>
      </c>
      <c r="BV27" s="42">
        <v>0</v>
      </c>
      <c r="BW27" s="44" t="s">
        <v>285</v>
      </c>
      <c r="BZ27" s="42" t="s">
        <v>39</v>
      </c>
      <c r="CA27" s="43" t="s">
        <v>204</v>
      </c>
      <c r="CB27" s="42">
        <v>0</v>
      </c>
      <c r="CC27" s="44" t="s">
        <v>285</v>
      </c>
      <c r="CD27" s="18"/>
      <c r="CE27" s="42" t="s">
        <v>44</v>
      </c>
      <c r="CF27" s="45" t="s">
        <v>497</v>
      </c>
      <c r="CG27" s="42">
        <v>4</v>
      </c>
      <c r="CH27" s="44" t="s">
        <v>36</v>
      </c>
      <c r="CK27" s="42" t="s">
        <v>39</v>
      </c>
      <c r="CL27" s="43" t="s">
        <v>380</v>
      </c>
      <c r="CM27" s="42">
        <v>0</v>
      </c>
      <c r="CN27" s="44" t="s">
        <v>285</v>
      </c>
      <c r="CO27" s="18"/>
      <c r="CP27" s="42" t="s">
        <v>44</v>
      </c>
      <c r="CQ27" s="45" t="s">
        <v>541</v>
      </c>
      <c r="CR27" s="42">
        <v>4</v>
      </c>
      <c r="CS27" s="44" t="s">
        <v>36</v>
      </c>
    </row>
    <row r="28" spans="1:97" x14ac:dyDescent="0.35">
      <c r="A28" s="42" t="s">
        <v>14</v>
      </c>
      <c r="B28" s="43" t="s">
        <v>102</v>
      </c>
      <c r="C28" s="42">
        <v>4</v>
      </c>
      <c r="D28" s="44" t="s">
        <v>36</v>
      </c>
      <c r="E28" s="18"/>
      <c r="F28" s="42" t="s">
        <v>45</v>
      </c>
      <c r="G28" s="45" t="s">
        <v>139</v>
      </c>
      <c r="H28" s="42">
        <v>4</v>
      </c>
      <c r="I28" s="44" t="s">
        <v>36</v>
      </c>
      <c r="L28" s="42" t="s">
        <v>14</v>
      </c>
      <c r="M28" s="43" t="s">
        <v>180</v>
      </c>
      <c r="N28" s="42">
        <v>1</v>
      </c>
      <c r="O28" s="44" t="s">
        <v>218</v>
      </c>
      <c r="P28" s="18"/>
      <c r="Q28" s="42" t="s">
        <v>45</v>
      </c>
      <c r="R28" s="45" t="s">
        <v>219</v>
      </c>
      <c r="S28" s="42">
        <v>2</v>
      </c>
      <c r="T28" s="44" t="s">
        <v>43</v>
      </c>
      <c r="W28" s="42" t="s">
        <v>14</v>
      </c>
      <c r="X28" s="43" t="s">
        <v>258</v>
      </c>
      <c r="Y28" s="42">
        <v>0</v>
      </c>
      <c r="Z28" s="44" t="s">
        <v>285</v>
      </c>
      <c r="AA28" s="18"/>
      <c r="AB28" s="42" t="s">
        <v>45</v>
      </c>
      <c r="AC28" s="45" t="s">
        <v>286</v>
      </c>
      <c r="AD28" s="42">
        <v>0</v>
      </c>
      <c r="AE28" s="44" t="s">
        <v>285</v>
      </c>
      <c r="AH28" s="42" t="s">
        <v>14</v>
      </c>
      <c r="AI28" s="43" t="s">
        <v>258</v>
      </c>
      <c r="AJ28" s="42">
        <v>0</v>
      </c>
      <c r="AK28" s="44" t="s">
        <v>285</v>
      </c>
      <c r="AL28" s="18"/>
      <c r="AM28" s="42" t="s">
        <v>45</v>
      </c>
      <c r="AN28" s="45" t="s">
        <v>338</v>
      </c>
      <c r="AO28" s="42">
        <v>4</v>
      </c>
      <c r="AP28" s="44" t="s">
        <v>36</v>
      </c>
      <c r="AS28" s="42" t="s">
        <v>14</v>
      </c>
      <c r="AT28" s="43" t="s">
        <v>258</v>
      </c>
      <c r="AU28" s="42">
        <v>0</v>
      </c>
      <c r="AV28" s="44" t="s">
        <v>285</v>
      </c>
      <c r="AW28" s="18"/>
      <c r="AX28" s="42" t="s">
        <v>45</v>
      </c>
      <c r="AY28" s="45" t="s">
        <v>380</v>
      </c>
      <c r="AZ28" s="42">
        <v>4</v>
      </c>
      <c r="BA28" s="44" t="s">
        <v>36</v>
      </c>
      <c r="BD28" s="42" t="s">
        <v>14</v>
      </c>
      <c r="BE28" s="43" t="s">
        <v>401</v>
      </c>
      <c r="BF28" s="42">
        <v>1</v>
      </c>
      <c r="BG28" s="44" t="s">
        <v>218</v>
      </c>
      <c r="BH28" s="18"/>
      <c r="BI28" s="42" t="s">
        <v>45</v>
      </c>
      <c r="BJ28" s="45" t="s">
        <v>415</v>
      </c>
      <c r="BK28" s="42">
        <v>3</v>
      </c>
      <c r="BL28" s="44" t="s">
        <v>38</v>
      </c>
      <c r="BO28" s="42" t="s">
        <v>14</v>
      </c>
      <c r="BP28" s="43" t="s">
        <v>442</v>
      </c>
      <c r="BQ28" s="42">
        <v>0</v>
      </c>
      <c r="BR28" s="44" t="s">
        <v>285</v>
      </c>
      <c r="BS28" s="18"/>
      <c r="BT28" s="42" t="s">
        <v>45</v>
      </c>
      <c r="BU28" s="45" t="s">
        <v>179</v>
      </c>
      <c r="BV28" s="42">
        <v>0</v>
      </c>
      <c r="BW28" s="44" t="s">
        <v>285</v>
      </c>
      <c r="BZ28" s="42" t="s">
        <v>14</v>
      </c>
      <c r="CA28" s="43" t="s">
        <v>487</v>
      </c>
      <c r="CB28" s="42">
        <v>1</v>
      </c>
      <c r="CC28" s="44" t="s">
        <v>218</v>
      </c>
      <c r="CD28" s="18"/>
      <c r="CE28" s="42" t="s">
        <v>45</v>
      </c>
      <c r="CF28" s="45" t="s">
        <v>506</v>
      </c>
      <c r="CG28" s="42">
        <v>4</v>
      </c>
      <c r="CH28" s="44" t="s">
        <v>36</v>
      </c>
      <c r="CK28" s="42" t="s">
        <v>14</v>
      </c>
      <c r="CL28" s="43" t="s">
        <v>531</v>
      </c>
      <c r="CM28" s="42">
        <v>2</v>
      </c>
      <c r="CN28" s="44" t="s">
        <v>43</v>
      </c>
      <c r="CO28" s="18"/>
      <c r="CP28" s="42" t="s">
        <v>45</v>
      </c>
      <c r="CQ28" s="45" t="s">
        <v>549</v>
      </c>
      <c r="CR28" s="42">
        <v>3</v>
      </c>
      <c r="CS28" s="44" t="s">
        <v>38</v>
      </c>
    </row>
    <row r="29" spans="1:97" x14ac:dyDescent="0.35">
      <c r="A29" s="28" t="s">
        <v>574</v>
      </c>
      <c r="B29" s="2">
        <v>0.1208</v>
      </c>
      <c r="C29" s="20">
        <v>4</v>
      </c>
      <c r="D29" s="44" t="s">
        <v>36</v>
      </c>
      <c r="E29" s="14"/>
      <c r="F29" s="14"/>
      <c r="G29" s="14"/>
      <c r="H29" s="14"/>
      <c r="I29" s="14"/>
      <c r="L29" s="28" t="s">
        <v>574</v>
      </c>
      <c r="M29" s="5" t="s">
        <v>576</v>
      </c>
      <c r="N29" s="20">
        <v>2</v>
      </c>
      <c r="O29" s="22" t="s">
        <v>43</v>
      </c>
      <c r="P29" s="14"/>
      <c r="Q29" s="14"/>
      <c r="R29" s="14"/>
      <c r="S29" s="14"/>
      <c r="T29" s="14"/>
      <c r="W29" s="28" t="s">
        <v>574</v>
      </c>
      <c r="X29" s="5" t="s">
        <v>576</v>
      </c>
      <c r="Y29" s="20">
        <v>2</v>
      </c>
      <c r="Z29" s="22" t="s">
        <v>43</v>
      </c>
      <c r="AA29" s="14"/>
      <c r="AB29" s="14"/>
      <c r="AC29" s="14"/>
      <c r="AD29" s="14"/>
      <c r="AE29" s="14"/>
      <c r="AH29" s="28" t="s">
        <v>574</v>
      </c>
      <c r="AI29" s="5" t="s">
        <v>580</v>
      </c>
      <c r="AJ29" s="20">
        <v>4</v>
      </c>
      <c r="AK29" s="22" t="s">
        <v>36</v>
      </c>
      <c r="AL29" s="14"/>
      <c r="AM29" s="14"/>
      <c r="AN29" s="14"/>
      <c r="AO29" s="14"/>
      <c r="AP29" s="14"/>
      <c r="AS29" s="28" t="s">
        <v>574</v>
      </c>
      <c r="AT29" s="5" t="s">
        <v>577</v>
      </c>
      <c r="AU29" s="20">
        <v>3</v>
      </c>
      <c r="AV29" s="22" t="s">
        <v>36</v>
      </c>
      <c r="AW29" s="14"/>
      <c r="AX29" s="14"/>
      <c r="AY29" s="14"/>
      <c r="AZ29" s="14"/>
      <c r="BA29" s="14"/>
      <c r="BD29" s="28" t="s">
        <v>574</v>
      </c>
      <c r="BE29" s="5" t="s">
        <v>579</v>
      </c>
      <c r="BF29" s="20">
        <v>4</v>
      </c>
      <c r="BG29" s="22" t="s">
        <v>36</v>
      </c>
      <c r="BH29" s="14"/>
      <c r="BI29" s="14"/>
      <c r="BJ29" s="14"/>
      <c r="BK29" s="14"/>
      <c r="BL29" s="14"/>
      <c r="BO29" s="28" t="s">
        <v>574</v>
      </c>
      <c r="BP29" s="5" t="s">
        <v>421</v>
      </c>
      <c r="BQ29" s="20">
        <v>3</v>
      </c>
      <c r="BR29" s="22" t="s">
        <v>38</v>
      </c>
      <c r="BS29" s="14"/>
      <c r="BT29" s="14"/>
      <c r="BU29" s="14"/>
      <c r="BV29" s="14"/>
      <c r="BW29" s="14"/>
      <c r="BZ29" s="28" t="s">
        <v>574</v>
      </c>
      <c r="CA29" s="5" t="s">
        <v>578</v>
      </c>
      <c r="CB29" s="20"/>
      <c r="CC29" s="22"/>
      <c r="CD29" s="14"/>
      <c r="CE29" s="14"/>
      <c r="CF29" s="14"/>
      <c r="CG29" s="14"/>
      <c r="CH29" s="14"/>
      <c r="CK29" s="28" t="s">
        <v>574</v>
      </c>
      <c r="CL29" s="5" t="s">
        <v>512</v>
      </c>
      <c r="CM29" s="20"/>
      <c r="CN29" s="22"/>
      <c r="CO29" s="14"/>
      <c r="CP29" s="14"/>
      <c r="CQ29" s="14"/>
      <c r="CR29" s="14"/>
      <c r="CS29" s="14"/>
    </row>
    <row r="30" spans="1:97" x14ac:dyDescent="0.35">
      <c r="A30" s="15"/>
      <c r="B30" s="14"/>
      <c r="C30" s="14"/>
      <c r="D30" s="14"/>
      <c r="E30" s="14"/>
      <c r="F30" s="14"/>
      <c r="G30" s="14"/>
      <c r="H30" s="14"/>
      <c r="I30" s="14"/>
      <c r="L30" s="15"/>
      <c r="M30" s="14"/>
      <c r="N30" s="14"/>
      <c r="O30" s="14"/>
      <c r="P30" s="14"/>
      <c r="Q30" s="14"/>
      <c r="R30" s="14"/>
      <c r="S30" s="14"/>
      <c r="T30" s="14"/>
      <c r="W30" s="15"/>
      <c r="X30" s="14"/>
      <c r="Y30" s="14"/>
      <c r="Z30" s="14"/>
      <c r="AA30" s="14"/>
      <c r="AB30" s="14"/>
      <c r="AC30" s="14"/>
      <c r="AD30" s="14"/>
      <c r="AE30" s="14"/>
      <c r="AH30" s="15"/>
      <c r="AI30" s="14"/>
      <c r="AJ30" s="14"/>
      <c r="AK30" s="14"/>
      <c r="AL30" s="14"/>
      <c r="AM30" s="14"/>
      <c r="AN30" s="14"/>
      <c r="AO30" s="14"/>
      <c r="AP30" s="14"/>
      <c r="AS30" s="15"/>
      <c r="AT30" s="14"/>
      <c r="AU30" s="14"/>
      <c r="AV30" s="14"/>
      <c r="AW30" s="14"/>
      <c r="AX30" s="14"/>
      <c r="AY30" s="14"/>
      <c r="AZ30" s="14"/>
      <c r="BA30" s="14"/>
      <c r="BD30" s="15"/>
      <c r="BE30" s="14"/>
      <c r="BF30" s="14"/>
      <c r="BG30" s="14"/>
      <c r="BH30" s="14"/>
      <c r="BI30" s="14"/>
      <c r="BJ30" s="14"/>
      <c r="BK30" s="14"/>
      <c r="BL30" s="14"/>
      <c r="BO30" s="15"/>
      <c r="BP30" s="14"/>
      <c r="BQ30" s="14"/>
      <c r="BR30" s="14"/>
      <c r="BS30" s="14"/>
      <c r="BT30" s="14"/>
      <c r="BU30" s="14"/>
      <c r="BV30" s="14"/>
      <c r="BW30" s="14"/>
      <c r="BZ30" s="15"/>
      <c r="CA30" s="14"/>
      <c r="CB30" s="14"/>
      <c r="CC30" s="14"/>
      <c r="CD30" s="14"/>
      <c r="CE30" s="14"/>
      <c r="CF30" s="14"/>
      <c r="CG30" s="14"/>
      <c r="CH30" s="14"/>
      <c r="CK30" s="15"/>
      <c r="CL30" s="14"/>
      <c r="CM30" s="14"/>
      <c r="CN30" s="14"/>
      <c r="CO30" s="14"/>
      <c r="CP30" s="14"/>
      <c r="CQ30" s="14"/>
      <c r="CR30" s="14"/>
      <c r="CS30" s="14"/>
    </row>
    <row r="31" spans="1:97" x14ac:dyDescent="0.35">
      <c r="A31" s="14"/>
      <c r="B31" s="14"/>
      <c r="C31" s="14"/>
      <c r="D31" s="14"/>
      <c r="E31" s="14"/>
      <c r="F31" s="48" t="s">
        <v>572</v>
      </c>
      <c r="G31" s="14">
        <f>AVERAGE(C24:C29,H24:H28)</f>
        <v>3.6363636363636362</v>
      </c>
      <c r="H31" s="14"/>
      <c r="I31" s="14"/>
      <c r="L31" s="14"/>
      <c r="M31" s="14"/>
      <c r="N31" s="14"/>
      <c r="O31" s="14"/>
      <c r="P31" s="14"/>
      <c r="Q31" s="48" t="s">
        <v>572</v>
      </c>
      <c r="R31" s="14">
        <f>AVERAGE(N24:N29,S24:S28)</f>
        <v>1.6363636363636365</v>
      </c>
      <c r="S31" s="14"/>
      <c r="T31" s="14"/>
      <c r="W31" s="14"/>
      <c r="X31" s="14"/>
      <c r="Y31" s="14"/>
      <c r="Z31" s="14"/>
      <c r="AA31" s="14"/>
      <c r="AB31" s="48" t="s">
        <v>572</v>
      </c>
      <c r="AC31" s="14">
        <f>AVERAGE(Y24:Y29,AD24:AD28)</f>
        <v>0.36363636363636365</v>
      </c>
      <c r="AD31" s="14"/>
      <c r="AE31" s="14"/>
      <c r="AH31" s="14"/>
      <c r="AI31" s="14"/>
      <c r="AJ31" s="14"/>
      <c r="AK31" s="14"/>
      <c r="AL31" s="14"/>
      <c r="AM31" s="48" t="s">
        <v>572</v>
      </c>
      <c r="AN31" s="14">
        <f>AVERAGE(AJ24:AJ29,AO24:AO28)</f>
        <v>2.1818181818181817</v>
      </c>
      <c r="AO31" s="14"/>
      <c r="AP31" s="14"/>
      <c r="AS31" s="14"/>
      <c r="AT31" s="14"/>
      <c r="AU31" s="14"/>
      <c r="AV31" s="14"/>
      <c r="AW31" s="14"/>
      <c r="AX31" s="48" t="s">
        <v>572</v>
      </c>
      <c r="AY31" s="14">
        <f>AVERAGE(AU24:AU29,AZ24:AZ28)</f>
        <v>2.3636363636363638</v>
      </c>
      <c r="AZ31" s="14"/>
      <c r="BA31" s="14"/>
      <c r="BD31" s="14"/>
      <c r="BE31" s="14"/>
      <c r="BF31" s="14"/>
      <c r="BG31" s="14"/>
      <c r="BH31" s="14"/>
      <c r="BI31" s="48" t="s">
        <v>572</v>
      </c>
      <c r="BJ31" s="14">
        <f>AVERAGE(BF24:BF29,BK24:BK28)</f>
        <v>2.0909090909090908</v>
      </c>
      <c r="BK31" s="14"/>
      <c r="BL31" s="14"/>
      <c r="BO31" s="14"/>
      <c r="BP31" s="14"/>
      <c r="BQ31" s="14"/>
      <c r="BR31" s="14"/>
      <c r="BS31" s="14"/>
      <c r="BT31" s="48" t="s">
        <v>572</v>
      </c>
      <c r="BU31" s="14">
        <f>AVERAGE(BQ24:BQ29,BV24:BV28)</f>
        <v>0.54545454545454541</v>
      </c>
      <c r="BV31" s="14"/>
      <c r="BW31" s="14"/>
      <c r="BZ31" s="14"/>
      <c r="CA31" s="14"/>
      <c r="CB31" s="14"/>
      <c r="CC31" s="14"/>
      <c r="CD31" s="14"/>
      <c r="CE31" s="48" t="s">
        <v>572</v>
      </c>
      <c r="CF31" s="14">
        <f>AVERAGE(CB24:CB29,CG24:CG28)</f>
        <v>2.1</v>
      </c>
      <c r="CG31" s="14"/>
      <c r="CH31" s="14"/>
      <c r="CK31" s="14"/>
      <c r="CL31" s="14"/>
      <c r="CM31" s="14"/>
      <c r="CN31" s="14"/>
      <c r="CO31" s="14"/>
      <c r="CP31" s="48" t="s">
        <v>572</v>
      </c>
      <c r="CQ31" s="14">
        <f>AVERAGE(CM24:CM29,CR24:CR28)</f>
        <v>1.9</v>
      </c>
      <c r="CR31" s="14"/>
      <c r="CS31" s="14"/>
    </row>
    <row r="32" spans="1:97" x14ac:dyDescent="0.35">
      <c r="A32" s="54"/>
      <c r="B32" s="55"/>
      <c r="C32" s="14"/>
      <c r="D32" s="14"/>
      <c r="E32" s="14"/>
      <c r="F32" s="14"/>
      <c r="G32" s="14"/>
      <c r="H32" s="14"/>
      <c r="I32" s="14"/>
      <c r="L32" s="54"/>
      <c r="M32" s="55"/>
      <c r="N32" s="14"/>
      <c r="O32" s="14"/>
      <c r="P32" s="14"/>
      <c r="Q32" s="14"/>
      <c r="R32" s="14"/>
      <c r="S32" s="14"/>
      <c r="T32" s="14"/>
      <c r="W32" s="54"/>
      <c r="X32" s="55"/>
      <c r="Y32" s="14"/>
      <c r="Z32" s="14"/>
      <c r="AA32" s="14"/>
      <c r="AB32" s="14"/>
      <c r="AC32" s="14"/>
      <c r="AD32" s="14"/>
      <c r="AE32" s="14"/>
      <c r="AH32" s="54"/>
      <c r="AI32" s="55"/>
      <c r="AJ32" s="14"/>
      <c r="AK32" s="14"/>
      <c r="AL32" s="14"/>
      <c r="AM32" s="14"/>
      <c r="AN32" s="14"/>
      <c r="AO32" s="14"/>
      <c r="AP32" s="14"/>
      <c r="AS32" s="54"/>
      <c r="AT32" s="55"/>
      <c r="AU32" s="14"/>
      <c r="AV32" s="14"/>
      <c r="AW32" s="14"/>
      <c r="AX32" s="14"/>
      <c r="AY32" s="14"/>
      <c r="AZ32" s="14"/>
      <c r="BA32" s="14"/>
      <c r="BD32" s="54"/>
      <c r="BE32" s="55"/>
      <c r="BF32" s="14"/>
      <c r="BG32" s="14"/>
      <c r="BH32" s="14"/>
      <c r="BI32" s="14"/>
      <c r="BJ32" s="14"/>
      <c r="BK32" s="14"/>
      <c r="BL32" s="14"/>
      <c r="BO32" s="54"/>
      <c r="BP32" s="55"/>
      <c r="BQ32" s="14"/>
      <c r="BR32" s="14"/>
      <c r="BS32" s="14"/>
      <c r="BT32" s="14"/>
      <c r="BU32" s="14"/>
      <c r="BV32" s="14"/>
      <c r="BW32" s="14"/>
      <c r="BZ32" s="54"/>
      <c r="CA32" s="55"/>
      <c r="CB32" s="14"/>
      <c r="CC32" s="14"/>
      <c r="CD32" s="14"/>
      <c r="CE32" s="14"/>
      <c r="CF32" s="14"/>
      <c r="CG32" s="14"/>
      <c r="CH32" s="14"/>
      <c r="CK32" s="54"/>
      <c r="CL32" s="55"/>
      <c r="CM32" s="14"/>
      <c r="CN32" s="14"/>
      <c r="CO32" s="14"/>
      <c r="CP32" s="14"/>
      <c r="CQ32" s="14"/>
      <c r="CR32" s="14"/>
      <c r="CS32" s="14"/>
    </row>
    <row r="33" spans="1:97" ht="27" x14ac:dyDescent="0.35">
      <c r="A33" s="24" t="s">
        <v>46</v>
      </c>
      <c r="B33" s="25"/>
      <c r="C33" s="14"/>
      <c r="D33" s="14"/>
      <c r="E33" s="14"/>
      <c r="F33" s="14"/>
      <c r="G33" s="14"/>
      <c r="H33" s="14"/>
      <c r="I33" s="14"/>
      <c r="L33" s="24" t="s">
        <v>46</v>
      </c>
      <c r="M33" s="25"/>
      <c r="N33" s="14"/>
      <c r="O33" s="14"/>
      <c r="P33" s="14"/>
      <c r="Q33" s="14"/>
      <c r="R33" s="14"/>
      <c r="S33" s="14"/>
      <c r="T33" s="14"/>
      <c r="W33" s="24" t="s">
        <v>46</v>
      </c>
      <c r="X33" s="25"/>
      <c r="Y33" s="14"/>
      <c r="Z33" s="14"/>
      <c r="AA33" s="14"/>
      <c r="AB33" s="14"/>
      <c r="AC33" s="14"/>
      <c r="AD33" s="14"/>
      <c r="AE33" s="14"/>
      <c r="AH33" s="24" t="s">
        <v>46</v>
      </c>
      <c r="AI33" s="25"/>
      <c r="AJ33" s="14"/>
      <c r="AK33" s="14"/>
      <c r="AL33" s="14"/>
      <c r="AM33" s="14"/>
      <c r="AN33" s="14"/>
      <c r="AO33" s="14"/>
      <c r="AP33" s="14"/>
      <c r="AS33" s="24" t="s">
        <v>46</v>
      </c>
      <c r="AT33" s="25"/>
      <c r="AU33" s="14"/>
      <c r="AV33" s="14"/>
      <c r="AW33" s="14"/>
      <c r="AX33" s="14"/>
      <c r="AY33" s="14"/>
      <c r="AZ33" s="14"/>
      <c r="BA33" s="14"/>
      <c r="BD33" s="24" t="s">
        <v>46</v>
      </c>
      <c r="BE33" s="25"/>
      <c r="BF33" s="14"/>
      <c r="BG33" s="14"/>
      <c r="BH33" s="14"/>
      <c r="BI33" s="14"/>
      <c r="BJ33" s="14"/>
      <c r="BK33" s="14"/>
      <c r="BL33" s="14"/>
      <c r="BO33" s="24" t="s">
        <v>46</v>
      </c>
      <c r="BP33" s="25"/>
      <c r="BQ33" s="14"/>
      <c r="BR33" s="14"/>
      <c r="BS33" s="14"/>
      <c r="BT33" s="14"/>
      <c r="BU33" s="14"/>
      <c r="BV33" s="14"/>
      <c r="BW33" s="14"/>
      <c r="BZ33" s="24" t="s">
        <v>46</v>
      </c>
      <c r="CA33" s="25"/>
      <c r="CB33" s="14"/>
      <c r="CC33" s="14"/>
      <c r="CD33" s="14"/>
      <c r="CE33" s="14"/>
      <c r="CF33" s="14"/>
      <c r="CG33" s="14"/>
      <c r="CH33" s="14"/>
      <c r="CK33" s="24" t="s">
        <v>46</v>
      </c>
      <c r="CL33" s="25"/>
      <c r="CM33" s="14"/>
      <c r="CN33" s="14"/>
      <c r="CO33" s="14"/>
      <c r="CP33" s="14"/>
      <c r="CQ33" s="14"/>
      <c r="CR33" s="14"/>
      <c r="CS33" s="14"/>
    </row>
    <row r="34" spans="1:97" x14ac:dyDescent="0.35">
      <c r="A34" s="24" t="s">
        <v>47</v>
      </c>
      <c r="B34" s="25" t="s">
        <v>48</v>
      </c>
      <c r="C34" s="14"/>
      <c r="D34" s="14"/>
      <c r="E34" s="14"/>
      <c r="F34" s="14"/>
      <c r="G34" s="14"/>
      <c r="H34" s="14"/>
      <c r="I34" s="14"/>
      <c r="L34" s="24" t="s">
        <v>47</v>
      </c>
      <c r="M34" s="25" t="s">
        <v>220</v>
      </c>
      <c r="N34" s="14"/>
      <c r="O34" s="14"/>
      <c r="P34" s="14"/>
      <c r="Q34" s="14"/>
      <c r="R34" s="14"/>
      <c r="S34" s="14"/>
      <c r="T34" s="14"/>
      <c r="W34" s="24" t="s">
        <v>47</v>
      </c>
      <c r="X34" s="25" t="s">
        <v>220</v>
      </c>
      <c r="Y34" s="14"/>
      <c r="Z34" s="14"/>
      <c r="AA34" s="14"/>
      <c r="AB34" s="14"/>
      <c r="AC34" s="14"/>
      <c r="AD34" s="14"/>
      <c r="AE34" s="14"/>
      <c r="AH34" s="24" t="s">
        <v>47</v>
      </c>
      <c r="AI34" s="25" t="s">
        <v>220</v>
      </c>
      <c r="AJ34" s="14"/>
      <c r="AK34" s="14"/>
      <c r="AL34" s="14"/>
      <c r="AM34" s="14"/>
      <c r="AN34" s="14"/>
      <c r="AO34" s="14"/>
      <c r="AP34" s="14"/>
      <c r="AS34" s="24" t="s">
        <v>47</v>
      </c>
      <c r="AT34" s="25" t="s">
        <v>48</v>
      </c>
      <c r="AU34" s="14"/>
      <c r="AV34" s="14"/>
      <c r="AW34" s="14"/>
      <c r="AX34" s="14"/>
      <c r="AY34" s="14"/>
      <c r="AZ34" s="14"/>
      <c r="BA34" s="14"/>
      <c r="BD34" s="24" t="s">
        <v>47</v>
      </c>
      <c r="BE34" s="25" t="s">
        <v>48</v>
      </c>
      <c r="BF34" s="14"/>
      <c r="BG34" s="14"/>
      <c r="BH34" s="14"/>
      <c r="BI34" s="14"/>
      <c r="BJ34" s="14"/>
      <c r="BK34" s="14"/>
      <c r="BL34" s="14"/>
      <c r="BO34" s="24" t="s">
        <v>47</v>
      </c>
      <c r="BP34" s="25" t="s">
        <v>48</v>
      </c>
      <c r="BQ34" s="14"/>
      <c r="BR34" s="14"/>
      <c r="BS34" s="14"/>
      <c r="BT34" s="14"/>
      <c r="BU34" s="14"/>
      <c r="BV34" s="14"/>
      <c r="BW34" s="14"/>
      <c r="BZ34" s="24" t="s">
        <v>47</v>
      </c>
      <c r="CA34" s="25" t="s">
        <v>48</v>
      </c>
      <c r="CB34" s="14"/>
      <c r="CC34" s="14"/>
      <c r="CD34" s="14"/>
      <c r="CE34" s="14"/>
      <c r="CF34" s="14"/>
      <c r="CG34" s="14"/>
      <c r="CH34" s="14"/>
      <c r="CK34" s="24" t="s">
        <v>47</v>
      </c>
      <c r="CL34" s="25" t="s">
        <v>48</v>
      </c>
      <c r="CM34" s="14"/>
      <c r="CN34" s="14"/>
      <c r="CO34" s="14"/>
      <c r="CP34" s="14"/>
      <c r="CQ34" s="14"/>
      <c r="CR34" s="14"/>
      <c r="CS34" s="14"/>
    </row>
    <row r="35" spans="1:97" ht="18" x14ac:dyDescent="0.35">
      <c r="A35" s="24" t="s">
        <v>49</v>
      </c>
      <c r="B35" s="25" t="s">
        <v>50</v>
      </c>
      <c r="C35" s="14"/>
      <c r="D35" s="14"/>
      <c r="E35" s="14"/>
      <c r="F35" s="14"/>
      <c r="G35" s="14"/>
      <c r="H35" s="14"/>
      <c r="I35" s="14"/>
      <c r="L35" s="24" t="s">
        <v>49</v>
      </c>
      <c r="M35" s="25" t="s">
        <v>50</v>
      </c>
      <c r="N35" s="14"/>
      <c r="O35" s="14"/>
      <c r="P35" s="14"/>
      <c r="Q35" s="14"/>
      <c r="R35" s="14"/>
      <c r="S35" s="14"/>
      <c r="T35" s="14"/>
      <c r="W35" s="24" t="s">
        <v>49</v>
      </c>
      <c r="X35" s="25" t="s">
        <v>50</v>
      </c>
      <c r="Y35" s="14"/>
      <c r="Z35" s="14"/>
      <c r="AA35" s="14"/>
      <c r="AB35" s="14"/>
      <c r="AC35" s="14"/>
      <c r="AD35" s="14"/>
      <c r="AE35" s="14"/>
      <c r="AH35" s="24" t="s">
        <v>49</v>
      </c>
      <c r="AI35" s="25" t="s">
        <v>50</v>
      </c>
      <c r="AJ35" s="14"/>
      <c r="AK35" s="14"/>
      <c r="AL35" s="14"/>
      <c r="AM35" s="14"/>
      <c r="AN35" s="14"/>
      <c r="AO35" s="14"/>
      <c r="AP35" s="14"/>
      <c r="AS35" s="24" t="s">
        <v>49</v>
      </c>
      <c r="AT35" s="25" t="s">
        <v>50</v>
      </c>
      <c r="AU35" s="14"/>
      <c r="AV35" s="14"/>
      <c r="AW35" s="14"/>
      <c r="AX35" s="14"/>
      <c r="AY35" s="14"/>
      <c r="AZ35" s="14"/>
      <c r="BA35" s="14"/>
      <c r="BD35" s="24" t="s">
        <v>49</v>
      </c>
      <c r="BE35" s="25" t="s">
        <v>416</v>
      </c>
      <c r="BF35" s="14"/>
      <c r="BG35" s="14"/>
      <c r="BH35" s="14"/>
      <c r="BI35" s="14"/>
      <c r="BJ35" s="14"/>
      <c r="BK35" s="14"/>
      <c r="BL35" s="14"/>
      <c r="BO35" s="24" t="s">
        <v>49</v>
      </c>
      <c r="BP35" s="25" t="s">
        <v>50</v>
      </c>
      <c r="BQ35" s="14"/>
      <c r="BR35" s="14"/>
      <c r="BS35" s="14"/>
      <c r="BT35" s="14"/>
      <c r="BU35" s="14"/>
      <c r="BV35" s="14"/>
      <c r="BW35" s="14"/>
      <c r="BZ35" s="24" t="s">
        <v>49</v>
      </c>
      <c r="CA35" s="25" t="s">
        <v>50</v>
      </c>
      <c r="CB35" s="14"/>
      <c r="CC35" s="14"/>
      <c r="CD35" s="14"/>
      <c r="CE35" s="14"/>
      <c r="CF35" s="14"/>
      <c r="CG35" s="14"/>
      <c r="CH35" s="14"/>
      <c r="CK35" s="24" t="s">
        <v>49</v>
      </c>
      <c r="CL35" s="25" t="s">
        <v>50</v>
      </c>
      <c r="CM35" s="14"/>
      <c r="CN35" s="14"/>
      <c r="CO35" s="14"/>
      <c r="CP35" s="14"/>
      <c r="CQ35" s="14"/>
      <c r="CR35" s="14"/>
      <c r="CS35" s="14"/>
    </row>
    <row r="36" spans="1:97" ht="18" x14ac:dyDescent="0.35">
      <c r="A36" s="24" t="s">
        <v>51</v>
      </c>
      <c r="B36" s="25" t="s">
        <v>52</v>
      </c>
      <c r="C36" s="14"/>
      <c r="D36" s="14"/>
      <c r="E36" s="14"/>
      <c r="F36" s="14"/>
      <c r="G36" s="14"/>
      <c r="H36" s="14"/>
      <c r="I36" s="14"/>
      <c r="L36" s="24" t="s">
        <v>51</v>
      </c>
      <c r="M36" s="25" t="s">
        <v>52</v>
      </c>
      <c r="N36" s="14"/>
      <c r="O36" s="14"/>
      <c r="P36" s="14"/>
      <c r="Q36" s="14"/>
      <c r="R36" s="14"/>
      <c r="S36" s="14"/>
      <c r="T36" s="14"/>
      <c r="W36" s="24" t="s">
        <v>51</v>
      </c>
      <c r="X36" s="25" t="s">
        <v>52</v>
      </c>
      <c r="Y36" s="14"/>
      <c r="Z36" s="14"/>
      <c r="AA36" s="14"/>
      <c r="AB36" s="14"/>
      <c r="AC36" s="14"/>
      <c r="AD36" s="14"/>
      <c r="AE36" s="14"/>
      <c r="AH36" s="24" t="s">
        <v>51</v>
      </c>
      <c r="AI36" s="25" t="s">
        <v>52</v>
      </c>
      <c r="AJ36" s="14"/>
      <c r="AK36" s="14"/>
      <c r="AL36" s="14"/>
      <c r="AM36" s="14"/>
      <c r="AN36" s="14"/>
      <c r="AO36" s="14"/>
      <c r="AP36" s="14"/>
      <c r="AS36" s="24" t="s">
        <v>51</v>
      </c>
      <c r="AT36" s="25" t="s">
        <v>52</v>
      </c>
      <c r="AU36" s="14"/>
      <c r="AV36" s="14"/>
      <c r="AW36" s="14"/>
      <c r="AX36" s="14"/>
      <c r="AY36" s="14"/>
      <c r="AZ36" s="14"/>
      <c r="BA36" s="14"/>
      <c r="BD36" s="24" t="s">
        <v>51</v>
      </c>
      <c r="BE36" s="25" t="s">
        <v>52</v>
      </c>
      <c r="BF36" s="14"/>
      <c r="BG36" s="14"/>
      <c r="BH36" s="14"/>
      <c r="BI36" s="14"/>
      <c r="BJ36" s="14"/>
      <c r="BK36" s="14"/>
      <c r="BL36" s="14"/>
      <c r="BO36" s="24" t="s">
        <v>51</v>
      </c>
      <c r="BP36" s="25" t="s">
        <v>52</v>
      </c>
      <c r="BQ36" s="14"/>
      <c r="BR36" s="14"/>
      <c r="BS36" s="14"/>
      <c r="BT36" s="14"/>
      <c r="BU36" s="14"/>
      <c r="BV36" s="14"/>
      <c r="BW36" s="14"/>
      <c r="BZ36" s="24" t="s">
        <v>51</v>
      </c>
      <c r="CA36" s="25" t="s">
        <v>52</v>
      </c>
      <c r="CB36" s="14"/>
      <c r="CC36" s="14"/>
      <c r="CD36" s="14"/>
      <c r="CE36" s="14"/>
      <c r="CF36" s="14"/>
      <c r="CG36" s="14"/>
      <c r="CH36" s="14"/>
      <c r="CK36" s="24" t="s">
        <v>51</v>
      </c>
      <c r="CL36" s="25" t="s">
        <v>52</v>
      </c>
      <c r="CM36" s="14"/>
      <c r="CN36" s="14"/>
      <c r="CO36" s="14"/>
      <c r="CP36" s="14"/>
      <c r="CQ36" s="14"/>
      <c r="CR36" s="14"/>
      <c r="CS36" s="14"/>
    </row>
    <row r="37" spans="1:97" ht="18" x14ac:dyDescent="0.35">
      <c r="A37" s="24" t="s">
        <v>53</v>
      </c>
      <c r="B37" s="25" t="s">
        <v>52</v>
      </c>
      <c r="C37" s="14"/>
      <c r="D37" s="14"/>
      <c r="E37" s="14"/>
      <c r="F37" s="14"/>
      <c r="G37" s="14"/>
      <c r="H37" s="14"/>
      <c r="I37" s="14"/>
      <c r="L37" s="24" t="s">
        <v>53</v>
      </c>
      <c r="M37" s="25" t="s">
        <v>52</v>
      </c>
      <c r="N37" s="14"/>
      <c r="O37" s="14"/>
      <c r="P37" s="14"/>
      <c r="Q37" s="14"/>
      <c r="R37" s="14"/>
      <c r="S37" s="14"/>
      <c r="T37" s="14"/>
      <c r="W37" s="24" t="s">
        <v>53</v>
      </c>
      <c r="X37" s="25" t="s">
        <v>52</v>
      </c>
      <c r="Y37" s="14"/>
      <c r="Z37" s="14"/>
      <c r="AA37" s="14"/>
      <c r="AB37" s="14"/>
      <c r="AC37" s="14"/>
      <c r="AD37" s="14"/>
      <c r="AE37" s="14"/>
      <c r="AH37" s="24" t="s">
        <v>53</v>
      </c>
      <c r="AI37" s="25" t="s">
        <v>52</v>
      </c>
      <c r="AJ37" s="14"/>
      <c r="AK37" s="14"/>
      <c r="AL37" s="14"/>
      <c r="AM37" s="14"/>
      <c r="AN37" s="14"/>
      <c r="AO37" s="14"/>
      <c r="AP37" s="14"/>
      <c r="AS37" s="24" t="s">
        <v>53</v>
      </c>
      <c r="AT37" s="25" t="s">
        <v>52</v>
      </c>
      <c r="AU37" s="14"/>
      <c r="AV37" s="14"/>
      <c r="AW37" s="14"/>
      <c r="AX37" s="14"/>
      <c r="AY37" s="14"/>
      <c r="AZ37" s="14"/>
      <c r="BA37" s="14"/>
      <c r="BD37" s="24" t="s">
        <v>53</v>
      </c>
      <c r="BE37" s="25" t="s">
        <v>52</v>
      </c>
      <c r="BF37" s="14"/>
      <c r="BG37" s="14"/>
      <c r="BH37" s="14"/>
      <c r="BI37" s="14"/>
      <c r="BJ37" s="14"/>
      <c r="BK37" s="14"/>
      <c r="BL37" s="14"/>
      <c r="BO37" s="24" t="s">
        <v>53</v>
      </c>
      <c r="BP37" s="25" t="s">
        <v>52</v>
      </c>
      <c r="BQ37" s="14"/>
      <c r="BR37" s="14"/>
      <c r="BS37" s="14"/>
      <c r="BT37" s="14"/>
      <c r="BU37" s="14"/>
      <c r="BV37" s="14"/>
      <c r="BW37" s="14"/>
      <c r="BZ37" s="24" t="s">
        <v>53</v>
      </c>
      <c r="CA37" s="25" t="s">
        <v>52</v>
      </c>
      <c r="CB37" s="14"/>
      <c r="CC37" s="14"/>
      <c r="CD37" s="14"/>
      <c r="CE37" s="14"/>
      <c r="CF37" s="14"/>
      <c r="CG37" s="14"/>
      <c r="CH37" s="14"/>
      <c r="CK37" s="24" t="s">
        <v>53</v>
      </c>
      <c r="CL37" s="25" t="s">
        <v>52</v>
      </c>
      <c r="CM37" s="14"/>
      <c r="CN37" s="14"/>
      <c r="CO37" s="14"/>
      <c r="CP37" s="14"/>
      <c r="CQ37" s="14"/>
      <c r="CR37" s="14"/>
      <c r="CS37" s="14"/>
    </row>
    <row r="38" spans="1:97" x14ac:dyDescent="0.35">
      <c r="A38" s="24" t="s">
        <v>54</v>
      </c>
      <c r="B38" s="25" t="s">
        <v>52</v>
      </c>
      <c r="C38" s="14"/>
      <c r="D38" s="14"/>
      <c r="E38" s="14"/>
      <c r="F38" s="14"/>
      <c r="G38" s="14"/>
      <c r="H38" s="14"/>
      <c r="I38" s="14"/>
      <c r="L38" s="24" t="s">
        <v>54</v>
      </c>
      <c r="M38" s="25" t="s">
        <v>52</v>
      </c>
      <c r="N38" s="14"/>
      <c r="O38" s="14"/>
      <c r="P38" s="14"/>
      <c r="Q38" s="14"/>
      <c r="R38" s="14"/>
      <c r="S38" s="14"/>
      <c r="T38" s="14"/>
      <c r="W38" s="24" t="s">
        <v>54</v>
      </c>
      <c r="X38" s="25" t="s">
        <v>142</v>
      </c>
      <c r="Y38" s="14"/>
      <c r="Z38" s="14"/>
      <c r="AA38" s="14"/>
      <c r="AB38" s="14"/>
      <c r="AC38" s="14"/>
      <c r="AD38" s="14"/>
      <c r="AE38" s="14"/>
      <c r="AH38" s="24" t="s">
        <v>54</v>
      </c>
      <c r="AI38" s="25" t="s">
        <v>142</v>
      </c>
      <c r="AJ38" s="14"/>
      <c r="AK38" s="14"/>
      <c r="AL38" s="14"/>
      <c r="AM38" s="14"/>
      <c r="AN38" s="14"/>
      <c r="AO38" s="14"/>
      <c r="AP38" s="14"/>
      <c r="AS38" s="24" t="s">
        <v>54</v>
      </c>
      <c r="AT38" s="25" t="s">
        <v>52</v>
      </c>
      <c r="AU38" s="14"/>
      <c r="AV38" s="14"/>
      <c r="AW38" s="14"/>
      <c r="AX38" s="14"/>
      <c r="AY38" s="14"/>
      <c r="AZ38" s="14"/>
      <c r="BA38" s="14"/>
      <c r="BD38" s="24" t="s">
        <v>54</v>
      </c>
      <c r="BE38" s="25" t="s">
        <v>142</v>
      </c>
      <c r="BF38" s="14"/>
      <c r="BG38" s="14"/>
      <c r="BH38" s="14"/>
      <c r="BI38" s="14"/>
      <c r="BJ38" s="14"/>
      <c r="BK38" s="14"/>
      <c r="BL38" s="14"/>
      <c r="BO38" s="24" t="s">
        <v>54</v>
      </c>
      <c r="BP38" s="25" t="s">
        <v>142</v>
      </c>
      <c r="BQ38" s="14"/>
      <c r="BR38" s="14"/>
      <c r="BS38" s="14"/>
      <c r="BT38" s="14"/>
      <c r="BU38" s="14"/>
      <c r="BV38" s="14"/>
      <c r="BW38" s="14"/>
      <c r="BZ38" s="24" t="s">
        <v>54</v>
      </c>
      <c r="CA38" s="25" t="s">
        <v>52</v>
      </c>
      <c r="CB38" s="14"/>
      <c r="CC38" s="14"/>
      <c r="CD38" s="14"/>
      <c r="CE38" s="14"/>
      <c r="CF38" s="14"/>
      <c r="CG38" s="14"/>
      <c r="CH38" s="14"/>
      <c r="CK38" s="24" t="s">
        <v>54</v>
      </c>
      <c r="CL38" s="25" t="s">
        <v>52</v>
      </c>
      <c r="CM38" s="14"/>
      <c r="CN38" s="14"/>
      <c r="CO38" s="14"/>
      <c r="CP38" s="14"/>
      <c r="CQ38" s="14"/>
      <c r="CR38" s="14"/>
      <c r="CS38" s="14"/>
    </row>
    <row r="39" spans="1:97" ht="18" x14ac:dyDescent="0.35">
      <c r="A39" s="24" t="s">
        <v>55</v>
      </c>
      <c r="B39" s="25" t="s">
        <v>52</v>
      </c>
      <c r="C39" s="14"/>
      <c r="D39" s="14"/>
      <c r="E39" s="14"/>
      <c r="F39" s="14"/>
      <c r="G39" s="14"/>
      <c r="H39" s="14"/>
      <c r="I39" s="14"/>
      <c r="L39" s="24" t="s">
        <v>55</v>
      </c>
      <c r="M39" s="25" t="s">
        <v>52</v>
      </c>
      <c r="N39" s="14"/>
      <c r="O39" s="14"/>
      <c r="P39" s="14"/>
      <c r="Q39" s="14"/>
      <c r="R39" s="14"/>
      <c r="S39" s="14"/>
      <c r="T39" s="14"/>
      <c r="W39" s="24" t="s">
        <v>55</v>
      </c>
      <c r="X39" s="25" t="s">
        <v>52</v>
      </c>
      <c r="Y39" s="14"/>
      <c r="Z39" s="14"/>
      <c r="AA39" s="14"/>
      <c r="AB39" s="14"/>
      <c r="AC39" s="14"/>
      <c r="AD39" s="14"/>
      <c r="AE39" s="14"/>
      <c r="AH39" s="24" t="s">
        <v>55</v>
      </c>
      <c r="AI39" s="25" t="s">
        <v>52</v>
      </c>
      <c r="AJ39" s="14"/>
      <c r="AK39" s="14"/>
      <c r="AL39" s="14"/>
      <c r="AM39" s="14"/>
      <c r="AN39" s="14"/>
      <c r="AO39" s="14"/>
      <c r="AP39" s="14"/>
      <c r="AS39" s="24" t="s">
        <v>55</v>
      </c>
      <c r="AT39" s="25" t="s">
        <v>52</v>
      </c>
      <c r="AU39" s="14"/>
      <c r="AV39" s="14"/>
      <c r="AW39" s="14"/>
      <c r="AX39" s="14"/>
      <c r="AY39" s="14"/>
      <c r="AZ39" s="14"/>
      <c r="BA39" s="14"/>
      <c r="BD39" s="24" t="s">
        <v>55</v>
      </c>
      <c r="BE39" s="25" t="s">
        <v>52</v>
      </c>
      <c r="BF39" s="14"/>
      <c r="BG39" s="14"/>
      <c r="BH39" s="14"/>
      <c r="BI39" s="14"/>
      <c r="BJ39" s="14"/>
      <c r="BK39" s="14"/>
      <c r="BL39" s="14"/>
      <c r="BO39" s="24" t="s">
        <v>55</v>
      </c>
      <c r="BP39" s="25" t="s">
        <v>52</v>
      </c>
      <c r="BQ39" s="14"/>
      <c r="BR39" s="14"/>
      <c r="BS39" s="14"/>
      <c r="BT39" s="14"/>
      <c r="BU39" s="14"/>
      <c r="BV39" s="14"/>
      <c r="BW39" s="14"/>
      <c r="BZ39" s="24" t="s">
        <v>55</v>
      </c>
      <c r="CA39" s="25" t="s">
        <v>52</v>
      </c>
      <c r="CB39" s="14"/>
      <c r="CC39" s="14"/>
      <c r="CD39" s="14"/>
      <c r="CE39" s="14"/>
      <c r="CF39" s="14"/>
      <c r="CG39" s="14"/>
      <c r="CH39" s="14"/>
      <c r="CK39" s="24" t="s">
        <v>55</v>
      </c>
      <c r="CL39" s="25" t="s">
        <v>52</v>
      </c>
      <c r="CM39" s="14"/>
      <c r="CN39" s="14"/>
      <c r="CO39" s="14"/>
      <c r="CP39" s="14"/>
      <c r="CQ39" s="14"/>
      <c r="CR39" s="14"/>
      <c r="CS39" s="14"/>
    </row>
    <row r="40" spans="1:97" ht="36" x14ac:dyDescent="0.35">
      <c r="A40" s="24" t="s">
        <v>56</v>
      </c>
      <c r="B40" s="26" t="s">
        <v>57</v>
      </c>
      <c r="C40" s="16"/>
      <c r="D40" s="17"/>
      <c r="E40" s="14"/>
      <c r="F40" s="14"/>
      <c r="G40" s="14"/>
      <c r="H40" s="14"/>
      <c r="I40" s="14"/>
      <c r="L40" s="24" t="s">
        <v>221</v>
      </c>
      <c r="M40" s="26" t="s">
        <v>222</v>
      </c>
      <c r="N40" s="16"/>
      <c r="O40" s="17"/>
      <c r="P40" s="14"/>
      <c r="Q40" s="14"/>
      <c r="R40" s="14"/>
      <c r="S40" s="14"/>
      <c r="T40" s="14"/>
      <c r="W40" s="24" t="s">
        <v>221</v>
      </c>
      <c r="X40" s="26" t="s">
        <v>287</v>
      </c>
      <c r="Y40" s="16"/>
      <c r="Z40" s="17"/>
      <c r="AA40" s="14"/>
      <c r="AB40" s="14"/>
      <c r="AC40" s="14"/>
      <c r="AD40" s="14"/>
      <c r="AE40" s="14"/>
      <c r="AH40" s="24" t="s">
        <v>221</v>
      </c>
      <c r="AI40" s="26" t="s">
        <v>339</v>
      </c>
      <c r="AJ40" s="16"/>
      <c r="AK40" s="17"/>
      <c r="AL40" s="14"/>
      <c r="AM40" s="14"/>
      <c r="AN40" s="14"/>
      <c r="AO40" s="14"/>
      <c r="AP40" s="14"/>
      <c r="AS40" s="24" t="s">
        <v>56</v>
      </c>
      <c r="AT40" s="26" t="s">
        <v>385</v>
      </c>
      <c r="AU40" s="16"/>
      <c r="AV40" s="17"/>
      <c r="AW40" s="14"/>
      <c r="AX40" s="14"/>
      <c r="AY40" s="14"/>
      <c r="AZ40" s="14"/>
      <c r="BA40" s="14"/>
      <c r="BD40" s="24" t="s">
        <v>56</v>
      </c>
      <c r="BE40" s="26" t="s">
        <v>417</v>
      </c>
      <c r="BF40" s="16"/>
      <c r="BG40" s="17"/>
      <c r="BH40" s="14"/>
      <c r="BI40" s="14"/>
      <c r="BJ40" s="14"/>
      <c r="BK40" s="14"/>
      <c r="BL40" s="14"/>
      <c r="BO40" s="24" t="s">
        <v>56</v>
      </c>
      <c r="BP40" s="26" t="s">
        <v>464</v>
      </c>
      <c r="BQ40" s="16"/>
      <c r="BR40" s="17"/>
      <c r="BS40" s="14"/>
      <c r="BT40" s="14"/>
      <c r="BU40" s="14"/>
      <c r="BV40" s="14"/>
      <c r="BW40" s="14"/>
      <c r="BZ40" s="24" t="s">
        <v>507</v>
      </c>
      <c r="CA40" s="26" t="s">
        <v>508</v>
      </c>
      <c r="CB40" s="16"/>
      <c r="CC40" s="17"/>
      <c r="CD40" s="14"/>
      <c r="CE40" s="14"/>
      <c r="CF40" s="14"/>
      <c r="CG40" s="14"/>
      <c r="CH40" s="14"/>
      <c r="CK40" s="24" t="s">
        <v>56</v>
      </c>
      <c r="CL40" s="26" t="s">
        <v>550</v>
      </c>
      <c r="CM40" s="16"/>
      <c r="CN40" s="17"/>
      <c r="CO40" s="14"/>
      <c r="CP40" s="14"/>
      <c r="CQ40" s="14"/>
      <c r="CR40" s="14"/>
      <c r="CS40" s="14"/>
    </row>
    <row r="41" spans="1:97" ht="14.4" customHeight="1" x14ac:dyDescent="0.35">
      <c r="A41" s="56" t="s">
        <v>58</v>
      </c>
      <c r="B41" s="57">
        <v>3.1399999999999997E-2</v>
      </c>
      <c r="C41" s="16"/>
      <c r="D41" s="17"/>
      <c r="E41" s="14"/>
      <c r="F41" s="14"/>
      <c r="G41" s="14"/>
      <c r="H41" s="14"/>
      <c r="I41" s="14"/>
      <c r="L41" s="56" t="s">
        <v>58</v>
      </c>
      <c r="M41" s="57" t="s">
        <v>223</v>
      </c>
      <c r="N41" s="16"/>
      <c r="O41" s="17"/>
      <c r="P41" s="14"/>
      <c r="Q41" s="14"/>
      <c r="R41" s="14"/>
      <c r="S41" s="14"/>
      <c r="T41" s="14"/>
      <c r="W41" s="56" t="s">
        <v>58</v>
      </c>
      <c r="X41" s="57" t="s">
        <v>288</v>
      </c>
      <c r="Y41" s="16"/>
      <c r="Z41" s="17"/>
      <c r="AA41" s="14"/>
      <c r="AB41" s="14"/>
      <c r="AC41" s="14"/>
      <c r="AD41" s="14"/>
      <c r="AE41" s="14"/>
      <c r="AH41" s="56" t="s">
        <v>58</v>
      </c>
      <c r="AI41" s="57" t="s">
        <v>340</v>
      </c>
      <c r="AJ41" s="16"/>
      <c r="AK41" s="17"/>
      <c r="AL41" s="14"/>
      <c r="AM41" s="14"/>
      <c r="AN41" s="14"/>
      <c r="AO41" s="14"/>
      <c r="AP41" s="14"/>
      <c r="AS41" s="56" t="s">
        <v>58</v>
      </c>
      <c r="AT41" s="57" t="s">
        <v>386</v>
      </c>
      <c r="AU41" s="16"/>
      <c r="AV41" s="17"/>
      <c r="AW41" s="14"/>
      <c r="AX41" s="14"/>
      <c r="AY41" s="14"/>
      <c r="AZ41" s="14"/>
      <c r="BA41" s="14"/>
      <c r="BD41" s="56" t="s">
        <v>58</v>
      </c>
      <c r="BE41" s="57" t="s">
        <v>418</v>
      </c>
      <c r="BF41" s="16"/>
      <c r="BG41" s="17"/>
      <c r="BH41" s="14"/>
      <c r="BI41" s="14"/>
      <c r="BJ41" s="14"/>
      <c r="BK41" s="14"/>
      <c r="BL41" s="14"/>
      <c r="BO41" s="56" t="s">
        <v>58</v>
      </c>
      <c r="BP41" s="57" t="s">
        <v>465</v>
      </c>
      <c r="BQ41" s="16"/>
      <c r="BR41" s="17"/>
      <c r="BS41" s="14"/>
      <c r="BT41" s="14"/>
      <c r="BU41" s="14"/>
      <c r="BV41" s="14"/>
      <c r="BW41" s="14"/>
      <c r="BZ41" s="56" t="s">
        <v>58</v>
      </c>
      <c r="CA41" s="57" t="s">
        <v>509</v>
      </c>
      <c r="CB41" s="16"/>
      <c r="CC41" s="17"/>
      <c r="CD41" s="14"/>
      <c r="CE41" s="14"/>
      <c r="CF41" s="14"/>
      <c r="CG41" s="14"/>
      <c r="CH41" s="14"/>
      <c r="CK41" s="56" t="s">
        <v>58</v>
      </c>
      <c r="CL41" s="57" t="s">
        <v>551</v>
      </c>
      <c r="CM41" s="16"/>
      <c r="CN41" s="17"/>
      <c r="CO41" s="14"/>
      <c r="CP41" s="14"/>
      <c r="CQ41" s="14"/>
      <c r="CR41" s="14"/>
      <c r="CS41" s="14"/>
    </row>
    <row r="42" spans="1:97" ht="18" x14ac:dyDescent="0.35">
      <c r="A42" s="24" t="s">
        <v>59</v>
      </c>
      <c r="B42" s="27"/>
      <c r="C42" s="16"/>
      <c r="D42" s="17"/>
      <c r="E42" s="14"/>
      <c r="F42" s="14"/>
      <c r="G42" s="14"/>
      <c r="H42" s="14"/>
      <c r="I42" s="14"/>
      <c r="L42" s="24" t="s">
        <v>59</v>
      </c>
      <c r="M42" s="27"/>
      <c r="N42" s="16"/>
      <c r="O42" s="17"/>
      <c r="P42" s="14"/>
      <c r="Q42" s="14"/>
      <c r="R42" s="14"/>
      <c r="S42" s="14"/>
      <c r="T42" s="14"/>
      <c r="W42" s="24" t="s">
        <v>59</v>
      </c>
      <c r="X42" s="27"/>
      <c r="Y42" s="16"/>
      <c r="Z42" s="17"/>
      <c r="AA42" s="14"/>
      <c r="AB42" s="14"/>
      <c r="AC42" s="14"/>
      <c r="AD42" s="14"/>
      <c r="AE42" s="14"/>
      <c r="AH42" s="24" t="s">
        <v>59</v>
      </c>
      <c r="AI42" s="27"/>
      <c r="AJ42" s="16"/>
      <c r="AK42" s="17"/>
      <c r="AL42" s="14"/>
      <c r="AM42" s="14"/>
      <c r="AN42" s="14"/>
      <c r="AO42" s="14"/>
      <c r="AP42" s="14"/>
      <c r="AS42" s="24" t="s">
        <v>59</v>
      </c>
      <c r="AT42" s="27"/>
      <c r="AU42" s="16"/>
      <c r="AV42" s="17"/>
      <c r="AW42" s="14"/>
      <c r="AX42" s="14"/>
      <c r="AY42" s="14"/>
      <c r="AZ42" s="14"/>
      <c r="BA42" s="14"/>
      <c r="BD42" s="24" t="s">
        <v>59</v>
      </c>
      <c r="BE42" s="27"/>
      <c r="BF42" s="16"/>
      <c r="BG42" s="17"/>
      <c r="BH42" s="14"/>
      <c r="BI42" s="14"/>
      <c r="BJ42" s="14"/>
      <c r="BK42" s="14"/>
      <c r="BL42" s="14"/>
      <c r="BO42" s="24" t="s">
        <v>59</v>
      </c>
      <c r="BP42" s="27"/>
      <c r="BQ42" s="16"/>
      <c r="BR42" s="17"/>
      <c r="BS42" s="14"/>
      <c r="BT42" s="14"/>
      <c r="BU42" s="14"/>
      <c r="BV42" s="14"/>
      <c r="BW42" s="14"/>
      <c r="BZ42" s="24" t="s">
        <v>59</v>
      </c>
      <c r="CA42" s="27"/>
      <c r="CB42" s="16"/>
      <c r="CC42" s="17"/>
      <c r="CD42" s="14"/>
      <c r="CE42" s="14"/>
      <c r="CF42" s="14"/>
      <c r="CG42" s="14"/>
      <c r="CH42" s="14"/>
      <c r="CK42" s="24" t="s">
        <v>59</v>
      </c>
      <c r="CL42" s="27"/>
      <c r="CM42" s="16"/>
      <c r="CN42" s="17"/>
      <c r="CO42" s="14"/>
      <c r="CP42" s="14"/>
      <c r="CQ42" s="14"/>
      <c r="CR42" s="14"/>
      <c r="CS42" s="14"/>
    </row>
    <row r="43" spans="1:97" ht="18" x14ac:dyDescent="0.35">
      <c r="A43" s="24" t="s">
        <v>60</v>
      </c>
      <c r="B43" s="27">
        <v>0.03</v>
      </c>
      <c r="C43" s="16"/>
      <c r="D43" s="17"/>
      <c r="E43" s="14"/>
      <c r="F43" s="14"/>
      <c r="G43" s="14"/>
      <c r="H43" s="14"/>
      <c r="I43" s="14"/>
      <c r="L43" s="24" t="s">
        <v>60</v>
      </c>
      <c r="M43" s="27" t="s">
        <v>224</v>
      </c>
      <c r="N43" s="16"/>
      <c r="O43" s="17"/>
      <c r="P43" s="14"/>
      <c r="Q43" s="14"/>
      <c r="R43" s="14"/>
      <c r="S43" s="14"/>
      <c r="T43" s="14"/>
      <c r="W43" s="24" t="s">
        <v>60</v>
      </c>
      <c r="X43" s="27">
        <v>0.01</v>
      </c>
      <c r="Y43" s="16"/>
      <c r="Z43" s="17"/>
      <c r="AA43" s="14"/>
      <c r="AB43" s="14"/>
      <c r="AC43" s="14"/>
      <c r="AD43" s="14"/>
      <c r="AE43" s="14"/>
      <c r="AH43" s="24" t="s">
        <v>60</v>
      </c>
      <c r="AI43" s="27">
        <v>0.02</v>
      </c>
      <c r="AJ43" s="16"/>
      <c r="AK43" s="17"/>
      <c r="AL43" s="14"/>
      <c r="AM43" s="14"/>
      <c r="AN43" s="14"/>
      <c r="AO43" s="14"/>
      <c r="AP43" s="14"/>
      <c r="AS43" s="24" t="s">
        <v>60</v>
      </c>
      <c r="AT43" s="27">
        <v>0</v>
      </c>
      <c r="AU43" s="16"/>
      <c r="AV43" s="17"/>
      <c r="AW43" s="14"/>
      <c r="AX43" s="14"/>
      <c r="AY43" s="14"/>
      <c r="AZ43" s="14"/>
      <c r="BA43" s="14"/>
      <c r="BD43" s="24" t="s">
        <v>60</v>
      </c>
      <c r="BE43" s="27">
        <v>0.03</v>
      </c>
      <c r="BF43" s="16"/>
      <c r="BG43" s="17"/>
      <c r="BH43" s="14"/>
      <c r="BI43" s="14"/>
      <c r="BJ43" s="14"/>
      <c r="BK43" s="14"/>
      <c r="BL43" s="14"/>
      <c r="BO43" s="24" t="s">
        <v>60</v>
      </c>
      <c r="BP43" s="27">
        <v>0.01</v>
      </c>
      <c r="BQ43" s="16"/>
      <c r="BR43" s="17"/>
      <c r="BS43" s="14"/>
      <c r="BT43" s="14"/>
      <c r="BU43" s="14"/>
      <c r="BV43" s="14"/>
      <c r="BW43" s="14"/>
      <c r="BZ43" s="24" t="s">
        <v>60</v>
      </c>
      <c r="CA43" s="27">
        <v>0.05</v>
      </c>
      <c r="CB43" s="16"/>
      <c r="CC43" s="17"/>
      <c r="CD43" s="14"/>
      <c r="CE43" s="14"/>
      <c r="CF43" s="14"/>
      <c r="CG43" s="14"/>
      <c r="CH43" s="14"/>
      <c r="CK43" s="24" t="s">
        <v>60</v>
      </c>
      <c r="CL43" s="27">
        <v>0</v>
      </c>
      <c r="CM43" s="16"/>
      <c r="CN43" s="17"/>
      <c r="CO43" s="14"/>
      <c r="CP43" s="14"/>
      <c r="CQ43" s="14"/>
      <c r="CR43" s="14"/>
      <c r="CS43" s="14"/>
    </row>
    <row r="44" spans="1:97" x14ac:dyDescent="0.35">
      <c r="A44" s="24" t="s">
        <v>61</v>
      </c>
      <c r="B44" s="26">
        <v>0.03</v>
      </c>
      <c r="C44" s="16"/>
      <c r="D44" s="17"/>
      <c r="E44" s="14"/>
      <c r="F44" s="14"/>
      <c r="G44" s="14"/>
      <c r="H44" s="14"/>
      <c r="I44" s="14"/>
      <c r="L44" s="24" t="s">
        <v>61</v>
      </c>
      <c r="M44" s="26">
        <v>0</v>
      </c>
      <c r="N44" s="16"/>
      <c r="O44" s="17"/>
      <c r="P44" s="14"/>
      <c r="Q44" s="14"/>
      <c r="R44" s="14"/>
      <c r="S44" s="14"/>
      <c r="T44" s="14"/>
      <c r="W44" s="24" t="s">
        <v>61</v>
      </c>
      <c r="X44" s="26">
        <v>0</v>
      </c>
      <c r="Y44" s="16"/>
      <c r="Z44" s="17"/>
      <c r="AA44" s="14"/>
      <c r="AB44" s="14"/>
      <c r="AC44" s="14"/>
      <c r="AD44" s="14"/>
      <c r="AE44" s="14"/>
      <c r="AH44" s="24" t="s">
        <v>61</v>
      </c>
      <c r="AI44" s="26">
        <v>0.01</v>
      </c>
      <c r="AJ44" s="16"/>
      <c r="AK44" s="17"/>
      <c r="AL44" s="14"/>
      <c r="AM44" s="14"/>
      <c r="AN44" s="14"/>
      <c r="AO44" s="14"/>
      <c r="AP44" s="14"/>
      <c r="AS44" s="24" t="s">
        <v>61</v>
      </c>
      <c r="AT44" s="26">
        <v>0</v>
      </c>
      <c r="AU44" s="16"/>
      <c r="AV44" s="17"/>
      <c r="AW44" s="14"/>
      <c r="AX44" s="14"/>
      <c r="AY44" s="14"/>
      <c r="AZ44" s="14"/>
      <c r="BA44" s="14"/>
      <c r="BD44" s="24" t="s">
        <v>61</v>
      </c>
      <c r="BE44" s="26">
        <v>0</v>
      </c>
      <c r="BF44" s="16"/>
      <c r="BG44" s="17"/>
      <c r="BH44" s="14"/>
      <c r="BI44" s="14"/>
      <c r="BJ44" s="14"/>
      <c r="BK44" s="14"/>
      <c r="BL44" s="14"/>
      <c r="BO44" s="24" t="s">
        <v>61</v>
      </c>
      <c r="BP44" s="26">
        <v>0.01</v>
      </c>
      <c r="BQ44" s="16"/>
      <c r="BR44" s="17"/>
      <c r="BS44" s="14"/>
      <c r="BT44" s="14"/>
      <c r="BU44" s="14"/>
      <c r="BV44" s="14"/>
      <c r="BW44" s="14"/>
      <c r="BZ44" s="24" t="s">
        <v>61</v>
      </c>
      <c r="CA44" s="26">
        <v>0</v>
      </c>
      <c r="CB44" s="16"/>
      <c r="CC44" s="17"/>
      <c r="CD44" s="14"/>
      <c r="CE44" s="14"/>
      <c r="CF44" s="14"/>
      <c r="CG44" s="14"/>
      <c r="CH44" s="14"/>
      <c r="CK44" s="24" t="s">
        <v>61</v>
      </c>
      <c r="CL44" s="26">
        <v>0.01</v>
      </c>
      <c r="CM44" s="16"/>
      <c r="CN44" s="17"/>
      <c r="CO44" s="14"/>
      <c r="CP44" s="14"/>
      <c r="CQ44" s="14"/>
      <c r="CR44" s="14"/>
      <c r="CS44" s="14"/>
    </row>
    <row r="45" spans="1:97" x14ac:dyDescent="0.35">
      <c r="A45" s="24" t="s">
        <v>62</v>
      </c>
      <c r="B45" s="25">
        <v>5.0000000000000001E-3</v>
      </c>
      <c r="C45" s="14"/>
      <c r="D45" s="14"/>
      <c r="E45" s="14"/>
      <c r="F45" s="14"/>
      <c r="G45" s="14"/>
      <c r="H45" s="14"/>
      <c r="I45" s="14"/>
      <c r="L45" s="24" t="s">
        <v>62</v>
      </c>
      <c r="M45" s="25" t="s">
        <v>225</v>
      </c>
      <c r="N45" s="14"/>
      <c r="O45" s="14"/>
      <c r="P45" s="14"/>
      <c r="Q45" s="14"/>
      <c r="R45" s="14"/>
      <c r="S45" s="14"/>
      <c r="T45" s="14"/>
      <c r="W45" s="24" t="s">
        <v>62</v>
      </c>
      <c r="X45" s="25">
        <v>0.02</v>
      </c>
      <c r="Y45" s="14"/>
      <c r="Z45" s="14"/>
      <c r="AA45" s="14"/>
      <c r="AB45" s="14"/>
      <c r="AC45" s="14"/>
      <c r="AD45" s="14"/>
      <c r="AE45" s="14"/>
      <c r="AH45" s="24" t="s">
        <v>62</v>
      </c>
      <c r="AI45" s="25" t="s">
        <v>341</v>
      </c>
      <c r="AJ45" s="14"/>
      <c r="AK45" s="14"/>
      <c r="AL45" s="14"/>
      <c r="AM45" s="14"/>
      <c r="AN45" s="14"/>
      <c r="AO45" s="14"/>
      <c r="AP45" s="14"/>
      <c r="AS45" s="24" t="s">
        <v>62</v>
      </c>
      <c r="AT45" s="25">
        <v>0.02</v>
      </c>
      <c r="AU45" s="14"/>
      <c r="AV45" s="14"/>
      <c r="AW45" s="14"/>
      <c r="AX45" s="14"/>
      <c r="AY45" s="14"/>
      <c r="AZ45" s="14"/>
      <c r="BA45" s="14"/>
      <c r="BD45" s="24" t="s">
        <v>62</v>
      </c>
      <c r="BE45" s="25">
        <v>0.01</v>
      </c>
      <c r="BF45" s="14"/>
      <c r="BG45" s="14"/>
      <c r="BH45" s="14"/>
      <c r="BI45" s="14"/>
      <c r="BJ45" s="14"/>
      <c r="BK45" s="14"/>
      <c r="BL45" s="14"/>
      <c r="BO45" s="24" t="s">
        <v>62</v>
      </c>
      <c r="BP45" s="25" t="s">
        <v>466</v>
      </c>
      <c r="BQ45" s="14"/>
      <c r="BR45" s="14"/>
      <c r="BS45" s="14"/>
      <c r="BT45" s="14"/>
      <c r="BU45" s="14"/>
      <c r="BV45" s="14"/>
      <c r="BW45" s="14"/>
      <c r="BZ45" s="24" t="s">
        <v>62</v>
      </c>
      <c r="CA45" s="25" t="s">
        <v>510</v>
      </c>
      <c r="CB45" s="14"/>
      <c r="CC45" s="14"/>
      <c r="CD45" s="14"/>
      <c r="CE45" s="14"/>
      <c r="CF45" s="14"/>
      <c r="CG45" s="14"/>
      <c r="CH45" s="14"/>
      <c r="CK45" s="24" t="s">
        <v>62</v>
      </c>
      <c r="CL45" s="25" t="s">
        <v>510</v>
      </c>
      <c r="CM45" s="14"/>
      <c r="CN45" s="14"/>
      <c r="CO45" s="14"/>
      <c r="CP45" s="14"/>
      <c r="CQ45" s="14"/>
      <c r="CR45" s="14"/>
      <c r="CS45" s="14"/>
    </row>
    <row r="46" spans="1:97" ht="18" x14ac:dyDescent="0.35">
      <c r="A46" s="24" t="s">
        <v>63</v>
      </c>
      <c r="B46" s="26" t="s">
        <v>64</v>
      </c>
      <c r="C46" s="14"/>
      <c r="D46" s="14"/>
      <c r="E46" s="14"/>
      <c r="F46" s="14"/>
      <c r="G46" s="14"/>
      <c r="H46" s="14"/>
      <c r="I46" s="14"/>
      <c r="L46" s="24" t="s">
        <v>63</v>
      </c>
      <c r="M46" s="26" t="s">
        <v>64</v>
      </c>
      <c r="N46" s="14"/>
      <c r="O46" s="14"/>
      <c r="P46" s="14"/>
      <c r="Q46" s="14"/>
      <c r="R46" s="14"/>
      <c r="S46" s="14"/>
      <c r="T46" s="14"/>
      <c r="W46" s="24" t="s">
        <v>63</v>
      </c>
      <c r="X46" s="26" t="s">
        <v>64</v>
      </c>
      <c r="Y46" s="14"/>
      <c r="Z46" s="14"/>
      <c r="AA46" s="14"/>
      <c r="AB46" s="14"/>
      <c r="AC46" s="14"/>
      <c r="AD46" s="14"/>
      <c r="AE46" s="14"/>
      <c r="AH46" s="24" t="s">
        <v>63</v>
      </c>
      <c r="AI46" s="26" t="s">
        <v>142</v>
      </c>
      <c r="AJ46" s="14"/>
      <c r="AK46" s="14"/>
      <c r="AL46" s="14"/>
      <c r="AM46" s="14"/>
      <c r="AN46" s="14"/>
      <c r="AO46" s="14"/>
      <c r="AP46" s="14"/>
      <c r="AS46" s="24" t="s">
        <v>63</v>
      </c>
      <c r="AT46" s="26" t="s">
        <v>64</v>
      </c>
      <c r="AU46" s="14"/>
      <c r="AV46" s="14"/>
      <c r="AW46" s="14"/>
      <c r="AX46" s="14"/>
      <c r="AY46" s="14"/>
      <c r="AZ46" s="14"/>
      <c r="BA46" s="14"/>
      <c r="BD46" s="24" t="s">
        <v>63</v>
      </c>
      <c r="BE46" s="26" t="s">
        <v>142</v>
      </c>
      <c r="BF46" s="14"/>
      <c r="BG46" s="14"/>
      <c r="BH46" s="14"/>
      <c r="BI46" s="14"/>
      <c r="BJ46" s="14"/>
      <c r="BK46" s="14"/>
      <c r="BL46" s="14"/>
      <c r="BO46" s="24" t="s">
        <v>63</v>
      </c>
      <c r="BP46" s="26" t="s">
        <v>64</v>
      </c>
      <c r="BQ46" s="14"/>
      <c r="BR46" s="14"/>
      <c r="BS46" s="14"/>
      <c r="BT46" s="14"/>
      <c r="BU46" s="14"/>
      <c r="BV46" s="14"/>
      <c r="BW46" s="14"/>
      <c r="BZ46" s="24" t="s">
        <v>63</v>
      </c>
      <c r="CA46" s="26" t="s">
        <v>64</v>
      </c>
      <c r="CB46" s="14"/>
      <c r="CC46" s="14"/>
      <c r="CD46" s="14"/>
      <c r="CE46" s="14"/>
      <c r="CF46" s="14"/>
      <c r="CG46" s="14"/>
      <c r="CH46" s="14"/>
      <c r="CK46" s="24" t="s">
        <v>63</v>
      </c>
      <c r="CL46" s="26" t="s">
        <v>64</v>
      </c>
      <c r="CM46" s="14"/>
      <c r="CN46" s="14"/>
      <c r="CO46" s="14"/>
      <c r="CP46" s="14"/>
      <c r="CQ46" s="14"/>
      <c r="CR46" s="14"/>
      <c r="CS46" s="14"/>
    </row>
    <row r="47" spans="1:97" x14ac:dyDescent="0.35">
      <c r="A47" s="46" t="s">
        <v>65</v>
      </c>
      <c r="B47" s="47">
        <v>1.43E-2</v>
      </c>
      <c r="C47" s="14"/>
      <c r="D47" s="14"/>
      <c r="E47" s="14"/>
      <c r="F47" s="14"/>
      <c r="G47" s="14"/>
      <c r="H47" s="14"/>
      <c r="I47" s="14"/>
      <c r="L47" s="46" t="s">
        <v>65</v>
      </c>
      <c r="M47" s="47" t="s">
        <v>226</v>
      </c>
      <c r="N47" s="14"/>
      <c r="O47" s="14"/>
      <c r="P47" s="14"/>
      <c r="Q47" s="14"/>
      <c r="R47" s="14"/>
      <c r="S47" s="14"/>
      <c r="T47" s="14"/>
      <c r="W47" s="46" t="s">
        <v>65</v>
      </c>
      <c r="X47" s="47" t="s">
        <v>289</v>
      </c>
      <c r="Y47" s="14"/>
      <c r="Z47" s="14"/>
      <c r="AA47" s="14"/>
      <c r="AB47" s="14"/>
      <c r="AC47" s="14"/>
      <c r="AD47" s="14"/>
      <c r="AE47" s="14"/>
      <c r="AH47" s="46" t="s">
        <v>65</v>
      </c>
      <c r="AI47" s="47" t="s">
        <v>342</v>
      </c>
      <c r="AJ47" s="14"/>
      <c r="AK47" s="14"/>
      <c r="AL47" s="14"/>
      <c r="AM47" s="14"/>
      <c r="AN47" s="14"/>
      <c r="AO47" s="14"/>
      <c r="AP47" s="14"/>
      <c r="AS47" s="46" t="s">
        <v>65</v>
      </c>
      <c r="AT47" s="47" t="s">
        <v>387</v>
      </c>
      <c r="AU47" s="14"/>
      <c r="AV47" s="14"/>
      <c r="AW47" s="14"/>
      <c r="AX47" s="14"/>
      <c r="AY47" s="14"/>
      <c r="AZ47" s="14"/>
      <c r="BA47" s="14"/>
      <c r="BD47" s="46" t="s">
        <v>65</v>
      </c>
      <c r="BE47" s="47" t="s">
        <v>419</v>
      </c>
      <c r="BF47" s="14"/>
      <c r="BG47" s="14"/>
      <c r="BH47" s="14"/>
      <c r="BI47" s="14"/>
      <c r="BJ47" s="14"/>
      <c r="BK47" s="14"/>
      <c r="BL47" s="14"/>
      <c r="BO47" s="46" t="s">
        <v>65</v>
      </c>
      <c r="BP47" s="47" t="s">
        <v>467</v>
      </c>
      <c r="BQ47" s="14"/>
      <c r="BR47" s="14"/>
      <c r="BS47" s="14"/>
      <c r="BT47" s="14"/>
      <c r="BU47" s="14"/>
      <c r="BV47" s="14"/>
      <c r="BW47" s="14"/>
      <c r="BZ47" s="46" t="s">
        <v>65</v>
      </c>
      <c r="CA47" s="47" t="s">
        <v>343</v>
      </c>
      <c r="CB47" s="14"/>
      <c r="CC47" s="14"/>
      <c r="CD47" s="14"/>
      <c r="CE47" s="14"/>
      <c r="CF47" s="14"/>
      <c r="CG47" s="14"/>
      <c r="CH47" s="14"/>
      <c r="CK47" s="46" t="s">
        <v>65</v>
      </c>
      <c r="CL47" s="47" t="s">
        <v>552</v>
      </c>
      <c r="CM47" s="14"/>
      <c r="CN47" s="14"/>
      <c r="CO47" s="14"/>
      <c r="CP47" s="14"/>
      <c r="CQ47" s="14"/>
      <c r="CR47" s="14"/>
      <c r="CS47" s="14"/>
    </row>
    <row r="48" spans="1:97" x14ac:dyDescent="0.35">
      <c r="A48" s="46"/>
      <c r="B48" s="47"/>
      <c r="C48" s="14"/>
      <c r="D48" s="14"/>
      <c r="E48" s="14"/>
      <c r="F48" s="14"/>
      <c r="G48" s="14"/>
      <c r="H48" s="14"/>
      <c r="I48" s="14"/>
      <c r="L48" s="46"/>
      <c r="M48" s="47"/>
      <c r="N48" s="14"/>
      <c r="O48" s="14"/>
      <c r="P48" s="14"/>
      <c r="Q48" s="14"/>
      <c r="R48" s="14"/>
      <c r="S48" s="14"/>
      <c r="T48" s="14"/>
      <c r="W48" s="46"/>
      <c r="X48" s="47"/>
      <c r="Y48" s="14"/>
      <c r="Z48" s="14"/>
      <c r="AA48" s="14"/>
      <c r="AB48" s="14"/>
      <c r="AC48" s="14"/>
      <c r="AD48" s="14"/>
      <c r="AE48" s="14"/>
      <c r="AH48" s="46"/>
      <c r="AI48" s="47"/>
      <c r="AJ48" s="14"/>
      <c r="AK48" s="14"/>
      <c r="AL48" s="14"/>
      <c r="AM48" s="14"/>
      <c r="AN48" s="14"/>
      <c r="AO48" s="14"/>
      <c r="AP48" s="14"/>
      <c r="AS48" s="46"/>
      <c r="AT48" s="47"/>
      <c r="AU48" s="14"/>
      <c r="AV48" s="14"/>
      <c r="AW48" s="14"/>
      <c r="AX48" s="14"/>
      <c r="AY48" s="14"/>
      <c r="AZ48" s="14"/>
      <c r="BA48" s="14"/>
      <c r="BD48" s="46"/>
      <c r="BE48" s="47"/>
      <c r="BF48" s="14"/>
      <c r="BG48" s="14"/>
      <c r="BH48" s="14"/>
      <c r="BI48" s="14"/>
      <c r="BJ48" s="14"/>
      <c r="BK48" s="14"/>
      <c r="BL48" s="14"/>
      <c r="BO48" s="46"/>
      <c r="BP48" s="47"/>
      <c r="BQ48" s="14"/>
      <c r="BR48" s="14"/>
      <c r="BS48" s="14"/>
      <c r="BT48" s="14"/>
      <c r="BU48" s="14"/>
      <c r="BV48" s="14"/>
      <c r="BW48" s="14"/>
      <c r="BZ48" s="46"/>
      <c r="CA48" s="47"/>
      <c r="CB48" s="14"/>
      <c r="CC48" s="14"/>
      <c r="CD48" s="14"/>
      <c r="CE48" s="14"/>
      <c r="CF48" s="14"/>
      <c r="CG48" s="14"/>
      <c r="CH48" s="14"/>
      <c r="CK48" s="46"/>
      <c r="CL48" s="47"/>
      <c r="CM48" s="14"/>
      <c r="CN48" s="14"/>
      <c r="CO48" s="14"/>
      <c r="CP48" s="14"/>
      <c r="CQ48" s="14"/>
      <c r="CR48" s="14"/>
      <c r="CS48" s="14"/>
    </row>
    <row r="49" spans="1:25" x14ac:dyDescent="0.35">
      <c r="U49" t="s">
        <v>571</v>
      </c>
      <c r="V49" t="s">
        <v>572</v>
      </c>
    </row>
    <row r="50" spans="1:25" x14ac:dyDescent="0.35">
      <c r="A50" s="49" t="s">
        <v>561</v>
      </c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U50" t="s">
        <v>562</v>
      </c>
      <c r="V50">
        <f>Data!AA31</f>
        <v>1.6363636363636365</v>
      </c>
    </row>
    <row r="51" spans="1:25" x14ac:dyDescent="0.35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U51" t="s">
        <v>563</v>
      </c>
      <c r="V51">
        <f>Data!AK31</f>
        <v>0.36363636363636365</v>
      </c>
      <c r="X51" s="20">
        <v>4</v>
      </c>
      <c r="Y51" s="22" t="s">
        <v>36</v>
      </c>
    </row>
    <row r="52" spans="1:25" x14ac:dyDescent="0.35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U52" t="s">
        <v>564</v>
      </c>
      <c r="V52">
        <f>Data!AU31</f>
        <v>2.1818181818181817</v>
      </c>
      <c r="X52" s="20">
        <v>3</v>
      </c>
      <c r="Y52" s="22" t="s">
        <v>38</v>
      </c>
    </row>
    <row r="53" spans="1:25" x14ac:dyDescent="0.35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U53" t="s">
        <v>565</v>
      </c>
      <c r="V53">
        <f>Data!BE31</f>
        <v>2.3636363636363638</v>
      </c>
      <c r="X53" s="20">
        <v>2</v>
      </c>
      <c r="Y53" s="22" t="s">
        <v>43</v>
      </c>
    </row>
    <row r="54" spans="1:25" ht="15" customHeight="1" x14ac:dyDescent="0.35">
      <c r="A54" s="50" t="s">
        <v>568</v>
      </c>
      <c r="B54" s="50"/>
      <c r="C54" s="50"/>
      <c r="D54" s="50"/>
      <c r="E54" s="50"/>
      <c r="F54" s="50"/>
      <c r="G54" s="50" t="s">
        <v>570</v>
      </c>
      <c r="H54" s="50"/>
      <c r="I54" s="50"/>
      <c r="J54" s="50"/>
      <c r="K54" s="50">
        <f>IF(A54=U50,V50,IF(A54=U51,V51,IF(A54=U52,V52,IF(A54=U53,V53,IF(A54=U54,V54,IF(A54=U55,V55,IF(A54=U56,V56,IF(A54=U57,V57))))))))</f>
        <v>1.9</v>
      </c>
      <c r="L54" s="50"/>
      <c r="M54" s="50"/>
      <c r="N54" s="50"/>
      <c r="O54" s="50"/>
      <c r="P54" s="52"/>
      <c r="Q54" s="52"/>
      <c r="R54" s="52"/>
      <c r="U54" t="s">
        <v>566</v>
      </c>
      <c r="V54">
        <f>Data!BO31</f>
        <v>2.0909090909090908</v>
      </c>
      <c r="X54" s="20">
        <v>1</v>
      </c>
      <c r="Y54" s="22" t="s">
        <v>218</v>
      </c>
    </row>
    <row r="55" spans="1:25" x14ac:dyDescent="0.35">
      <c r="A55" s="51"/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3"/>
      <c r="Q55" s="53"/>
      <c r="R55" s="53"/>
      <c r="U55" t="s">
        <v>569</v>
      </c>
      <c r="V55">
        <f>Data!BY31</f>
        <v>0.54545454545454541</v>
      </c>
      <c r="X55" s="20">
        <v>0</v>
      </c>
      <c r="Y55" s="22" t="s">
        <v>581</v>
      </c>
    </row>
    <row r="56" spans="1:25" x14ac:dyDescent="0.35">
      <c r="U56" t="s">
        <v>567</v>
      </c>
      <c r="V56">
        <f>Data!CI31</f>
        <v>2.1</v>
      </c>
    </row>
    <row r="57" spans="1:25" x14ac:dyDescent="0.35">
      <c r="K57" s="20">
        <v>4</v>
      </c>
      <c r="L57" s="22" t="s">
        <v>36</v>
      </c>
      <c r="U57" t="s">
        <v>568</v>
      </c>
      <c r="V57">
        <f>Data!CS31</f>
        <v>1.9</v>
      </c>
    </row>
    <row r="58" spans="1:25" x14ac:dyDescent="0.35">
      <c r="K58" s="20">
        <v>3</v>
      </c>
      <c r="L58" s="22" t="s">
        <v>38</v>
      </c>
    </row>
    <row r="59" spans="1:25" x14ac:dyDescent="0.35">
      <c r="K59" s="20">
        <v>2</v>
      </c>
      <c r="L59" s="22" t="s">
        <v>43</v>
      </c>
    </row>
    <row r="60" spans="1:25" x14ac:dyDescent="0.35">
      <c r="K60" s="20">
        <v>1</v>
      </c>
      <c r="L60" s="22" t="s">
        <v>218</v>
      </c>
    </row>
    <row r="61" spans="1:25" x14ac:dyDescent="0.35">
      <c r="K61" s="20">
        <v>0</v>
      </c>
      <c r="L61" s="22" t="s">
        <v>581</v>
      </c>
    </row>
  </sheetData>
  <mergeCells count="141">
    <mergeCell ref="CK23:CL23"/>
    <mergeCell ref="CM23:CN23"/>
    <mergeCell ref="CP23:CQ23"/>
    <mergeCell ref="CR23:CS23"/>
    <mergeCell ref="CK32:CL32"/>
    <mergeCell ref="CK41:CL41"/>
    <mergeCell ref="BZ41:CA41"/>
    <mergeCell ref="CK2:CS3"/>
    <mergeCell ref="CK5:CN5"/>
    <mergeCell ref="CP5:CS5"/>
    <mergeCell ref="CK11:CN11"/>
    <mergeCell ref="CP12:CS12"/>
    <mergeCell ref="CP17:CS17"/>
    <mergeCell ref="CK20:CS21"/>
    <mergeCell ref="CK22:CN22"/>
    <mergeCell ref="CP22:CS22"/>
    <mergeCell ref="CE22:CH22"/>
    <mergeCell ref="BZ23:CA23"/>
    <mergeCell ref="CB23:CC23"/>
    <mergeCell ref="CE23:CF23"/>
    <mergeCell ref="CG23:CH23"/>
    <mergeCell ref="BZ32:CA32"/>
    <mergeCell ref="BO32:BP32"/>
    <mergeCell ref="BO41:BP41"/>
    <mergeCell ref="BZ2:CH3"/>
    <mergeCell ref="BZ5:CC5"/>
    <mergeCell ref="CE5:CH5"/>
    <mergeCell ref="BZ11:CC11"/>
    <mergeCell ref="CE12:CH12"/>
    <mergeCell ref="CE17:CH17"/>
    <mergeCell ref="BZ20:CH21"/>
    <mergeCell ref="BZ22:CC22"/>
    <mergeCell ref="BO20:BW21"/>
    <mergeCell ref="BO22:BR22"/>
    <mergeCell ref="BT22:BW22"/>
    <mergeCell ref="BO23:BP23"/>
    <mergeCell ref="BQ23:BR23"/>
    <mergeCell ref="BT23:BU23"/>
    <mergeCell ref="BV23:BW23"/>
    <mergeCell ref="BO2:BW3"/>
    <mergeCell ref="BO5:BR5"/>
    <mergeCell ref="BT5:BW5"/>
    <mergeCell ref="BO11:BR11"/>
    <mergeCell ref="BT12:BW12"/>
    <mergeCell ref="BT17:BW17"/>
    <mergeCell ref="BD23:BE23"/>
    <mergeCell ref="BF23:BG23"/>
    <mergeCell ref="BI23:BJ23"/>
    <mergeCell ref="BK23:BL23"/>
    <mergeCell ref="BD32:BE32"/>
    <mergeCell ref="BD41:BE41"/>
    <mergeCell ref="AS41:AT41"/>
    <mergeCell ref="BD2:BL3"/>
    <mergeCell ref="BD5:BG5"/>
    <mergeCell ref="BI5:BL5"/>
    <mergeCell ref="BD11:BG11"/>
    <mergeCell ref="BI12:BL12"/>
    <mergeCell ref="BI17:BL17"/>
    <mergeCell ref="BD20:BL21"/>
    <mergeCell ref="BD22:BG22"/>
    <mergeCell ref="BI22:BL22"/>
    <mergeCell ref="AX22:BA22"/>
    <mergeCell ref="AS23:AT23"/>
    <mergeCell ref="AU23:AV23"/>
    <mergeCell ref="AX23:AY23"/>
    <mergeCell ref="AZ23:BA23"/>
    <mergeCell ref="AS32:AT32"/>
    <mergeCell ref="AH32:AI32"/>
    <mergeCell ref="AH41:AI41"/>
    <mergeCell ref="AS2:BA3"/>
    <mergeCell ref="AS5:AV5"/>
    <mergeCell ref="AX5:BA5"/>
    <mergeCell ref="AS11:AV11"/>
    <mergeCell ref="AX12:BA12"/>
    <mergeCell ref="AX17:BA17"/>
    <mergeCell ref="AS20:BA21"/>
    <mergeCell ref="AS22:AV22"/>
    <mergeCell ref="AH20:AP21"/>
    <mergeCell ref="AH22:AK22"/>
    <mergeCell ref="AM22:AP22"/>
    <mergeCell ref="AH23:AI23"/>
    <mergeCell ref="AJ23:AK23"/>
    <mergeCell ref="AM23:AN23"/>
    <mergeCell ref="AO23:AP23"/>
    <mergeCell ref="AH2:AP3"/>
    <mergeCell ref="AH5:AK5"/>
    <mergeCell ref="AM5:AP5"/>
    <mergeCell ref="AH11:AK11"/>
    <mergeCell ref="AM12:AP12"/>
    <mergeCell ref="AM17:AP17"/>
    <mergeCell ref="W32:X32"/>
    <mergeCell ref="W41:X41"/>
    <mergeCell ref="L41:M41"/>
    <mergeCell ref="W2:AE3"/>
    <mergeCell ref="W5:Z5"/>
    <mergeCell ref="AB5:AE5"/>
    <mergeCell ref="W11:Z11"/>
    <mergeCell ref="AB12:AE12"/>
    <mergeCell ref="AB17:AE17"/>
    <mergeCell ref="W20:AE21"/>
    <mergeCell ref="W22:Z22"/>
    <mergeCell ref="AB22:AE22"/>
    <mergeCell ref="Q22:T22"/>
    <mergeCell ref="L23:M23"/>
    <mergeCell ref="N23:O23"/>
    <mergeCell ref="Q23:R23"/>
    <mergeCell ref="S23:T23"/>
    <mergeCell ref="L32:M32"/>
    <mergeCell ref="A5:D5"/>
    <mergeCell ref="F5:I5"/>
    <mergeCell ref="A11:D11"/>
    <mergeCell ref="F12:I12"/>
    <mergeCell ref="F17:I17"/>
    <mergeCell ref="W23:X23"/>
    <mergeCell ref="Y23:Z23"/>
    <mergeCell ref="AB23:AC23"/>
    <mergeCell ref="AD23:AE23"/>
    <mergeCell ref="A50:R53"/>
    <mergeCell ref="A54:F55"/>
    <mergeCell ref="G54:J55"/>
    <mergeCell ref="P54:R55"/>
    <mergeCell ref="K54:L55"/>
    <mergeCell ref="M54:O55"/>
    <mergeCell ref="A32:B32"/>
    <mergeCell ref="A41:B41"/>
    <mergeCell ref="L2:T3"/>
    <mergeCell ref="L5:O5"/>
    <mergeCell ref="Q5:T5"/>
    <mergeCell ref="L11:O11"/>
    <mergeCell ref="Q12:T12"/>
    <mergeCell ref="Q17:T17"/>
    <mergeCell ref="L20:T21"/>
    <mergeCell ref="L22:O22"/>
    <mergeCell ref="A20:I21"/>
    <mergeCell ref="A22:D22"/>
    <mergeCell ref="F22:I22"/>
    <mergeCell ref="A23:B23"/>
    <mergeCell ref="C23:D23"/>
    <mergeCell ref="F23:G23"/>
    <mergeCell ref="H23:I23"/>
    <mergeCell ref="A2:I3"/>
  </mergeCells>
  <dataValidations count="1">
    <dataValidation type="list" allowBlank="1" showInputMessage="1" showErrorMessage="1" sqref="A54:F55" xr:uid="{0AF142F0-4C7B-4BC4-9D6E-49141829EB3C}">
      <formula1>$U$50:$U$57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FD59"/>
  <sheetViews>
    <sheetView topLeftCell="K15" zoomScale="66" zoomScaleNormal="60" workbookViewId="0">
      <selection activeCell="U30" sqref="U30"/>
    </sheetView>
  </sheetViews>
  <sheetFormatPr defaultRowHeight="14.5" x14ac:dyDescent="0.35"/>
  <cols>
    <col min="1" max="1" width="15.453125" bestFit="1" customWidth="1"/>
    <col min="4" max="4" width="10.36328125" customWidth="1"/>
    <col min="6" max="6" width="15.1796875" bestFit="1" customWidth="1"/>
    <col min="12" max="12" width="11.1796875" customWidth="1"/>
    <col min="13" max="13" width="8.81640625" customWidth="1"/>
  </cols>
  <sheetData>
    <row r="2" spans="1:99" ht="45" customHeight="1" x14ac:dyDescent="0.35">
      <c r="A2" s="78" t="s">
        <v>573</v>
      </c>
      <c r="B2" s="79"/>
      <c r="C2" s="79"/>
      <c r="D2" s="79"/>
      <c r="E2" s="79"/>
      <c r="F2" s="79"/>
      <c r="G2" s="79"/>
      <c r="H2" s="79"/>
      <c r="I2" s="80"/>
      <c r="J2" s="31"/>
      <c r="K2" s="70" t="s">
        <v>138</v>
      </c>
      <c r="L2" s="70"/>
      <c r="M2" s="70"/>
      <c r="N2" s="70"/>
      <c r="O2" s="70"/>
      <c r="P2" s="70"/>
      <c r="Q2" s="70"/>
      <c r="R2" s="70"/>
      <c r="S2" s="70"/>
      <c r="T2" s="31"/>
      <c r="U2" s="58" t="s">
        <v>553</v>
      </c>
      <c r="V2" s="58"/>
      <c r="W2" s="58"/>
      <c r="X2" s="58"/>
      <c r="Y2" s="58"/>
      <c r="Z2" s="58"/>
      <c r="AA2" s="58"/>
      <c r="AB2" s="58"/>
      <c r="AC2" s="58"/>
      <c r="AD2" s="31"/>
      <c r="AE2" s="58" t="s">
        <v>554</v>
      </c>
      <c r="AF2" s="58"/>
      <c r="AG2" s="58"/>
      <c r="AH2" s="58"/>
      <c r="AI2" s="58"/>
      <c r="AJ2" s="58"/>
      <c r="AK2" s="58"/>
      <c r="AL2" s="58"/>
      <c r="AM2" s="58"/>
      <c r="AN2" s="31"/>
      <c r="AO2" s="58" t="s">
        <v>555</v>
      </c>
      <c r="AP2" s="58"/>
      <c r="AQ2" s="58"/>
      <c r="AR2" s="58"/>
      <c r="AS2" s="58"/>
      <c r="AT2" s="58"/>
      <c r="AU2" s="58"/>
      <c r="AV2" s="58"/>
      <c r="AW2" s="58"/>
      <c r="AX2" s="31"/>
      <c r="AY2" s="58" t="s">
        <v>556</v>
      </c>
      <c r="AZ2" s="58"/>
      <c r="BA2" s="58"/>
      <c r="BB2" s="58"/>
      <c r="BC2" s="58"/>
      <c r="BD2" s="58"/>
      <c r="BE2" s="58"/>
      <c r="BF2" s="58"/>
      <c r="BG2" s="58"/>
      <c r="BH2" s="31"/>
      <c r="BI2" s="58" t="s">
        <v>557</v>
      </c>
      <c r="BJ2" s="58"/>
      <c r="BK2" s="58"/>
      <c r="BL2" s="58"/>
      <c r="BM2" s="58"/>
      <c r="BN2" s="58"/>
      <c r="BO2" s="58"/>
      <c r="BP2" s="58"/>
      <c r="BQ2" s="58"/>
      <c r="BR2" s="31"/>
      <c r="BS2" s="58" t="s">
        <v>558</v>
      </c>
      <c r="BT2" s="58"/>
      <c r="BU2" s="58"/>
      <c r="BV2" s="58"/>
      <c r="BW2" s="58"/>
      <c r="BX2" s="58"/>
      <c r="BY2" s="58"/>
      <c r="BZ2" s="58"/>
      <c r="CA2" s="58"/>
      <c r="CB2" s="31"/>
      <c r="CC2" s="58" t="s">
        <v>559</v>
      </c>
      <c r="CD2" s="58"/>
      <c r="CE2" s="58"/>
      <c r="CF2" s="58"/>
      <c r="CG2" s="58"/>
      <c r="CH2" s="58"/>
      <c r="CI2" s="58"/>
      <c r="CJ2" s="58"/>
      <c r="CK2" s="58"/>
      <c r="CL2" s="31"/>
      <c r="CM2" s="58" t="s">
        <v>560</v>
      </c>
      <c r="CN2" s="58"/>
      <c r="CO2" s="58"/>
      <c r="CP2" s="58"/>
      <c r="CQ2" s="58"/>
      <c r="CR2" s="58"/>
      <c r="CS2" s="58"/>
      <c r="CT2" s="58"/>
      <c r="CU2" s="58"/>
    </row>
    <row r="3" spans="1:99" x14ac:dyDescent="0.35">
      <c r="A3" s="81"/>
      <c r="B3" s="82"/>
      <c r="C3" s="82"/>
      <c r="D3" s="82"/>
      <c r="E3" s="82"/>
      <c r="F3" s="82"/>
      <c r="G3" s="82"/>
      <c r="H3" s="82"/>
      <c r="I3" s="83"/>
      <c r="J3" s="31"/>
      <c r="K3" s="70"/>
      <c r="L3" s="70"/>
      <c r="M3" s="70"/>
      <c r="N3" s="70"/>
      <c r="O3" s="70"/>
      <c r="P3" s="70"/>
      <c r="Q3" s="70"/>
      <c r="R3" s="70"/>
      <c r="S3" s="70"/>
      <c r="T3" s="31"/>
      <c r="U3" s="58"/>
      <c r="V3" s="58"/>
      <c r="W3" s="58"/>
      <c r="X3" s="58"/>
      <c r="Y3" s="58"/>
      <c r="Z3" s="58"/>
      <c r="AA3" s="58"/>
      <c r="AB3" s="58"/>
      <c r="AC3" s="58"/>
      <c r="AD3" s="31"/>
      <c r="AE3" s="58"/>
      <c r="AF3" s="58"/>
      <c r="AG3" s="58"/>
      <c r="AH3" s="58"/>
      <c r="AI3" s="58"/>
      <c r="AJ3" s="58"/>
      <c r="AK3" s="58"/>
      <c r="AL3" s="58"/>
      <c r="AM3" s="58"/>
      <c r="AN3" s="31"/>
      <c r="AO3" s="58"/>
      <c r="AP3" s="58"/>
      <c r="AQ3" s="58"/>
      <c r="AR3" s="58"/>
      <c r="AS3" s="58"/>
      <c r="AT3" s="58"/>
      <c r="AU3" s="58"/>
      <c r="AV3" s="58"/>
      <c r="AW3" s="58"/>
      <c r="AX3" s="31"/>
      <c r="AY3" s="58"/>
      <c r="AZ3" s="58"/>
      <c r="BA3" s="58"/>
      <c r="BB3" s="58"/>
      <c r="BC3" s="58"/>
      <c r="BD3" s="58"/>
      <c r="BE3" s="58"/>
      <c r="BF3" s="58"/>
      <c r="BG3" s="58"/>
      <c r="BH3" s="31"/>
      <c r="BI3" s="58"/>
      <c r="BJ3" s="58"/>
      <c r="BK3" s="58"/>
      <c r="BL3" s="58"/>
      <c r="BM3" s="58"/>
      <c r="BN3" s="58"/>
      <c r="BO3" s="58"/>
      <c r="BP3" s="58"/>
      <c r="BQ3" s="58"/>
      <c r="BR3" s="31"/>
      <c r="BS3" s="58"/>
      <c r="BT3" s="58"/>
      <c r="BU3" s="58"/>
      <c r="BV3" s="58"/>
      <c r="BW3" s="58"/>
      <c r="BX3" s="58"/>
      <c r="BY3" s="58"/>
      <c r="BZ3" s="58"/>
      <c r="CA3" s="58"/>
      <c r="CB3" s="31"/>
      <c r="CC3" s="58"/>
      <c r="CD3" s="58"/>
      <c r="CE3" s="58"/>
      <c r="CF3" s="58"/>
      <c r="CG3" s="58"/>
      <c r="CH3" s="58"/>
      <c r="CI3" s="58"/>
      <c r="CJ3" s="58"/>
      <c r="CK3" s="58"/>
      <c r="CL3" s="31"/>
      <c r="CM3" s="58"/>
      <c r="CN3" s="58"/>
      <c r="CO3" s="58"/>
      <c r="CP3" s="58"/>
      <c r="CQ3" s="58"/>
      <c r="CR3" s="58"/>
      <c r="CS3" s="58"/>
      <c r="CT3" s="58"/>
      <c r="CU3" s="58"/>
    </row>
    <row r="4" spans="1:99" x14ac:dyDescent="0.35">
      <c r="A4" s="32" t="s">
        <v>31</v>
      </c>
      <c r="B4" s="33" t="s">
        <v>0</v>
      </c>
      <c r="C4" s="33" t="s">
        <v>1</v>
      </c>
      <c r="D4" s="33" t="s">
        <v>2</v>
      </c>
      <c r="E4" s="34"/>
      <c r="F4" s="32"/>
      <c r="G4" s="33" t="s">
        <v>0</v>
      </c>
      <c r="H4" s="33" t="s">
        <v>1</v>
      </c>
      <c r="I4" s="33" t="s">
        <v>2</v>
      </c>
      <c r="J4" s="31"/>
      <c r="K4" s="35" t="s">
        <v>0</v>
      </c>
      <c r="L4" s="35" t="s">
        <v>1</v>
      </c>
      <c r="M4" s="35" t="s">
        <v>2</v>
      </c>
      <c r="N4" s="36"/>
      <c r="O4" s="34"/>
      <c r="P4" s="41"/>
      <c r="Q4" s="35" t="s">
        <v>0</v>
      </c>
      <c r="R4" s="35" t="s">
        <v>1</v>
      </c>
      <c r="S4" s="35" t="s">
        <v>2</v>
      </c>
      <c r="T4" s="31"/>
      <c r="U4" s="41"/>
      <c r="V4" s="35" t="s">
        <v>0</v>
      </c>
      <c r="W4" s="35" t="s">
        <v>1</v>
      </c>
      <c r="X4" s="35" t="s">
        <v>2</v>
      </c>
      <c r="Y4" s="34"/>
      <c r="Z4" s="35" t="s">
        <v>0</v>
      </c>
      <c r="AA4" s="35" t="s">
        <v>1</v>
      </c>
      <c r="AB4" s="35" t="s">
        <v>2</v>
      </c>
      <c r="AC4" s="36"/>
      <c r="AD4" s="31"/>
      <c r="AE4" s="41"/>
      <c r="AF4" s="35" t="s">
        <v>0</v>
      </c>
      <c r="AG4" s="35" t="s">
        <v>1</v>
      </c>
      <c r="AH4" s="35" t="s">
        <v>2</v>
      </c>
      <c r="AI4" s="34"/>
      <c r="AJ4" s="35" t="s">
        <v>0</v>
      </c>
      <c r="AK4" s="35" t="s">
        <v>1</v>
      </c>
      <c r="AL4" s="35" t="s">
        <v>2</v>
      </c>
      <c r="AM4" s="36"/>
      <c r="AN4" s="31"/>
      <c r="AO4" s="41" t="s">
        <v>0</v>
      </c>
      <c r="AP4" s="35" t="s">
        <v>1</v>
      </c>
      <c r="AQ4" s="35" t="s">
        <v>2</v>
      </c>
      <c r="AR4" s="35"/>
      <c r="AS4" s="34"/>
      <c r="AT4" s="35" t="s">
        <v>0</v>
      </c>
      <c r="AU4" s="35" t="s">
        <v>1</v>
      </c>
      <c r="AV4" s="35" t="s">
        <v>2</v>
      </c>
      <c r="AW4" s="36"/>
      <c r="AX4" s="31"/>
      <c r="AY4" s="41" t="s">
        <v>0</v>
      </c>
      <c r="AZ4" s="35" t="s">
        <v>1</v>
      </c>
      <c r="BA4" s="35" t="s">
        <v>2</v>
      </c>
      <c r="BB4" s="35"/>
      <c r="BC4" s="34"/>
      <c r="BD4" s="35" t="s">
        <v>0</v>
      </c>
      <c r="BE4" s="35" t="s">
        <v>1</v>
      </c>
      <c r="BF4" s="35" t="s">
        <v>2</v>
      </c>
      <c r="BG4" s="36"/>
      <c r="BH4" s="31"/>
      <c r="BI4" s="41" t="s">
        <v>0</v>
      </c>
      <c r="BJ4" s="35" t="s">
        <v>1</v>
      </c>
      <c r="BK4" s="35" t="s">
        <v>2</v>
      </c>
      <c r="BL4" s="35"/>
      <c r="BM4" s="34"/>
      <c r="BN4" s="35">
        <v>6</v>
      </c>
      <c r="BO4" s="35" t="s">
        <v>1</v>
      </c>
      <c r="BP4" s="35" t="s">
        <v>2</v>
      </c>
      <c r="BQ4" s="36"/>
      <c r="BR4" s="31"/>
      <c r="BS4" s="41" t="s">
        <v>0</v>
      </c>
      <c r="BT4" s="35" t="s">
        <v>1</v>
      </c>
      <c r="BU4" s="35" t="s">
        <v>2</v>
      </c>
      <c r="BV4" s="35"/>
      <c r="BW4" s="34"/>
      <c r="BX4" s="35" t="s">
        <v>0</v>
      </c>
      <c r="BY4" s="35" t="s">
        <v>1</v>
      </c>
      <c r="BZ4" s="35" t="s">
        <v>2</v>
      </c>
      <c r="CA4" s="36"/>
      <c r="CB4" s="31"/>
      <c r="CC4" s="41" t="s">
        <v>0</v>
      </c>
      <c r="CD4" s="35" t="s">
        <v>1</v>
      </c>
      <c r="CE4" s="35" t="s">
        <v>2</v>
      </c>
      <c r="CF4" s="35"/>
      <c r="CG4" s="34"/>
      <c r="CH4" s="35" t="s">
        <v>0</v>
      </c>
      <c r="CI4" s="35" t="s">
        <v>1</v>
      </c>
      <c r="CJ4" s="35" t="s">
        <v>2</v>
      </c>
      <c r="CK4" s="36"/>
      <c r="CL4" s="31"/>
      <c r="CM4" s="41" t="s">
        <v>0</v>
      </c>
      <c r="CN4" s="35" t="s">
        <v>1</v>
      </c>
      <c r="CO4" s="35" t="s">
        <v>2</v>
      </c>
      <c r="CP4" s="35"/>
      <c r="CQ4" s="34"/>
      <c r="CR4" s="35" t="s">
        <v>0</v>
      </c>
      <c r="CS4" s="35" t="s">
        <v>1</v>
      </c>
      <c r="CT4" s="35" t="s">
        <v>2</v>
      </c>
      <c r="CU4" s="36"/>
    </row>
    <row r="5" spans="1:99" x14ac:dyDescent="0.35">
      <c r="A5" s="87" t="s">
        <v>32</v>
      </c>
      <c r="B5" s="88"/>
      <c r="C5" s="88"/>
      <c r="D5" s="89"/>
      <c r="E5" s="14"/>
      <c r="F5" s="87" t="s">
        <v>16</v>
      </c>
      <c r="G5" s="88"/>
      <c r="H5" s="88"/>
      <c r="I5" s="89"/>
      <c r="K5" s="71" t="s">
        <v>32</v>
      </c>
      <c r="L5" s="72"/>
      <c r="M5" s="72"/>
      <c r="N5" s="73"/>
      <c r="O5" s="14"/>
      <c r="P5" s="71" t="s">
        <v>16</v>
      </c>
      <c r="Q5" s="72"/>
      <c r="R5" s="72"/>
      <c r="S5" s="73"/>
      <c r="U5" s="59" t="s">
        <v>32</v>
      </c>
      <c r="V5" s="59"/>
      <c r="W5" s="59"/>
      <c r="X5" s="59"/>
      <c r="Y5" s="14"/>
      <c r="Z5" s="59" t="s">
        <v>16</v>
      </c>
      <c r="AA5" s="59"/>
      <c r="AB5" s="59"/>
      <c r="AC5" s="59"/>
      <c r="AE5" s="59" t="s">
        <v>67</v>
      </c>
      <c r="AF5" s="59"/>
      <c r="AG5" s="59"/>
      <c r="AH5" s="59"/>
      <c r="AI5" s="14"/>
      <c r="AJ5" s="59" t="s">
        <v>16</v>
      </c>
      <c r="AK5" s="59"/>
      <c r="AL5" s="59"/>
      <c r="AM5" s="59"/>
      <c r="AO5" s="59" t="s">
        <v>67</v>
      </c>
      <c r="AP5" s="59"/>
      <c r="AQ5" s="59"/>
      <c r="AR5" s="59"/>
      <c r="AS5" s="14"/>
      <c r="AT5" s="59" t="s">
        <v>16</v>
      </c>
      <c r="AU5" s="59"/>
      <c r="AV5" s="59"/>
      <c r="AW5" s="59"/>
      <c r="AY5" s="59" t="s">
        <v>67</v>
      </c>
      <c r="AZ5" s="59"/>
      <c r="BA5" s="59"/>
      <c r="BB5" s="59"/>
      <c r="BC5" s="14"/>
      <c r="BD5" s="59" t="s">
        <v>16</v>
      </c>
      <c r="BE5" s="59"/>
      <c r="BF5" s="59"/>
      <c r="BG5" s="59"/>
      <c r="BI5" s="59" t="s">
        <v>67</v>
      </c>
      <c r="BJ5" s="59"/>
      <c r="BK5" s="59"/>
      <c r="BL5" s="59"/>
      <c r="BM5" s="14"/>
      <c r="BN5" s="59" t="s">
        <v>16</v>
      </c>
      <c r="BO5" s="59"/>
      <c r="BP5" s="59"/>
      <c r="BQ5" s="59"/>
      <c r="BS5" s="59" t="s">
        <v>67</v>
      </c>
      <c r="BT5" s="59"/>
      <c r="BU5" s="59"/>
      <c r="BV5" s="59"/>
      <c r="BW5" s="14"/>
      <c r="BX5" s="59" t="s">
        <v>16</v>
      </c>
      <c r="BY5" s="59"/>
      <c r="BZ5" s="59"/>
      <c r="CA5" s="59"/>
      <c r="CC5" s="59" t="s">
        <v>67</v>
      </c>
      <c r="CD5" s="59"/>
      <c r="CE5" s="59"/>
      <c r="CF5" s="59"/>
      <c r="CG5" s="14"/>
      <c r="CH5" s="59" t="s">
        <v>16</v>
      </c>
      <c r="CI5" s="59"/>
      <c r="CJ5" s="59"/>
      <c r="CK5" s="59"/>
      <c r="CM5" s="59" t="s">
        <v>67</v>
      </c>
      <c r="CN5" s="59"/>
      <c r="CO5" s="59"/>
      <c r="CP5" s="59"/>
      <c r="CQ5" s="14"/>
      <c r="CR5" s="59" t="s">
        <v>16</v>
      </c>
      <c r="CS5" s="59"/>
      <c r="CT5" s="59"/>
      <c r="CU5" s="59"/>
    </row>
    <row r="6" spans="1:99" x14ac:dyDescent="0.35">
      <c r="A6" s="1" t="s">
        <v>3</v>
      </c>
      <c r="B6" s="2">
        <v>-2.3E-3</v>
      </c>
      <c r="C6" s="2">
        <v>0.1208</v>
      </c>
      <c r="D6" s="2">
        <v>0.1106</v>
      </c>
      <c r="E6" s="14"/>
      <c r="F6" s="1" t="s">
        <v>17</v>
      </c>
      <c r="G6" s="5">
        <v>-0.09</v>
      </c>
      <c r="H6" s="5">
        <v>0.82</v>
      </c>
      <c r="I6" s="5">
        <v>0.66</v>
      </c>
      <c r="K6" s="37" t="s">
        <v>3</v>
      </c>
      <c r="L6" s="38" t="s">
        <v>68</v>
      </c>
      <c r="M6" s="38" t="s">
        <v>69</v>
      </c>
      <c r="N6" s="38" t="s">
        <v>70</v>
      </c>
      <c r="O6" s="14"/>
      <c r="P6" s="37" t="s">
        <v>17</v>
      </c>
      <c r="Q6" s="38" t="s">
        <v>106</v>
      </c>
      <c r="R6" s="38" t="s">
        <v>107</v>
      </c>
      <c r="S6" s="38" t="s">
        <v>108</v>
      </c>
      <c r="U6" s="37" t="s">
        <v>3</v>
      </c>
      <c r="V6" s="38" t="s">
        <v>149</v>
      </c>
      <c r="W6" s="38" t="s">
        <v>150</v>
      </c>
      <c r="X6" s="38" t="s">
        <v>151</v>
      </c>
      <c r="Y6" s="14"/>
      <c r="Z6" s="37" t="s">
        <v>17</v>
      </c>
      <c r="AA6" s="38" t="s">
        <v>185</v>
      </c>
      <c r="AB6" s="38" t="s">
        <v>186</v>
      </c>
      <c r="AC6" s="38" t="s">
        <v>187</v>
      </c>
      <c r="AE6" s="37" t="s">
        <v>3</v>
      </c>
      <c r="AF6" s="38" t="s">
        <v>227</v>
      </c>
      <c r="AG6" s="38" t="s">
        <v>150</v>
      </c>
      <c r="AH6" s="38" t="s">
        <v>228</v>
      </c>
      <c r="AI6" s="14"/>
      <c r="AJ6" s="37" t="s">
        <v>17</v>
      </c>
      <c r="AK6" s="38" t="s">
        <v>263</v>
      </c>
      <c r="AL6" s="38" t="s">
        <v>126</v>
      </c>
      <c r="AM6" s="38" t="s">
        <v>264</v>
      </c>
      <c r="AO6" s="37" t="s">
        <v>3</v>
      </c>
      <c r="AP6" s="38" t="s">
        <v>290</v>
      </c>
      <c r="AQ6" s="38" t="s">
        <v>291</v>
      </c>
      <c r="AR6" s="38" t="s">
        <v>292</v>
      </c>
      <c r="AS6" s="14"/>
      <c r="AT6" s="37" t="s">
        <v>17</v>
      </c>
      <c r="AU6" s="38" t="s">
        <v>314</v>
      </c>
      <c r="AV6" s="38" t="s">
        <v>208</v>
      </c>
      <c r="AW6" s="38" t="s">
        <v>216</v>
      </c>
      <c r="AY6" s="37" t="s">
        <v>3</v>
      </c>
      <c r="AZ6" s="38" t="s">
        <v>343</v>
      </c>
      <c r="BA6" s="38" t="s">
        <v>344</v>
      </c>
      <c r="BB6" s="38" t="s">
        <v>345</v>
      </c>
      <c r="BC6" s="14"/>
      <c r="BD6" s="37" t="s">
        <v>17</v>
      </c>
      <c r="BE6" s="38" t="s">
        <v>191</v>
      </c>
      <c r="BF6" s="38" t="s">
        <v>367</v>
      </c>
      <c r="BG6" s="38" t="s">
        <v>368</v>
      </c>
      <c r="BI6" s="37" t="s">
        <v>3</v>
      </c>
      <c r="BJ6" s="38" t="s">
        <v>388</v>
      </c>
      <c r="BK6" s="38" t="s">
        <v>389</v>
      </c>
      <c r="BL6" s="38" t="s">
        <v>95</v>
      </c>
      <c r="BM6" s="14"/>
      <c r="BN6" s="37" t="s">
        <v>17</v>
      </c>
      <c r="BO6" s="38" t="s">
        <v>403</v>
      </c>
      <c r="BP6" s="38" t="s">
        <v>100</v>
      </c>
      <c r="BQ6" s="38" t="s">
        <v>95</v>
      </c>
      <c r="BS6" s="37" t="s">
        <v>3</v>
      </c>
      <c r="BT6" s="38" t="s">
        <v>420</v>
      </c>
      <c r="BU6" s="38" t="s">
        <v>421</v>
      </c>
      <c r="BV6" s="38" t="s">
        <v>422</v>
      </c>
      <c r="BW6" s="14"/>
      <c r="BX6" s="37" t="s">
        <v>17</v>
      </c>
      <c r="BY6" s="38" t="s">
        <v>446</v>
      </c>
      <c r="BZ6" s="38" t="s">
        <v>447</v>
      </c>
      <c r="CA6" s="38" t="s">
        <v>448</v>
      </c>
      <c r="CC6" s="37" t="s">
        <v>3</v>
      </c>
      <c r="CD6" s="38" t="s">
        <v>468</v>
      </c>
      <c r="CE6" s="38" t="s">
        <v>469</v>
      </c>
      <c r="CF6" s="38" t="s">
        <v>470</v>
      </c>
      <c r="CG6" s="14"/>
      <c r="CH6" s="37" t="s">
        <v>17</v>
      </c>
      <c r="CI6" s="38" t="s">
        <v>264</v>
      </c>
      <c r="CJ6" s="38" t="s">
        <v>130</v>
      </c>
      <c r="CK6" s="38" t="s">
        <v>491</v>
      </c>
      <c r="CM6" s="37" t="s">
        <v>3</v>
      </c>
      <c r="CN6" s="38" t="s">
        <v>511</v>
      </c>
      <c r="CO6" s="38" t="s">
        <v>512</v>
      </c>
      <c r="CP6" s="38" t="s">
        <v>513</v>
      </c>
      <c r="CQ6" s="14"/>
      <c r="CR6" s="37" t="s">
        <v>17</v>
      </c>
      <c r="CS6" s="38" t="s">
        <v>106</v>
      </c>
      <c r="CT6" s="38" t="s">
        <v>320</v>
      </c>
      <c r="CU6" s="38" t="s">
        <v>368</v>
      </c>
    </row>
    <row r="7" spans="1:99" x14ac:dyDescent="0.35">
      <c r="A7" s="1" t="s">
        <v>4</v>
      </c>
      <c r="B7" s="2">
        <v>2.0999999999999999E-3</v>
      </c>
      <c r="C7" s="2">
        <v>8.4400000000000003E-2</v>
      </c>
      <c r="D7" s="2">
        <v>6.4399999999999999E-2</v>
      </c>
      <c r="E7" s="14"/>
      <c r="F7" s="1" t="s">
        <v>18</v>
      </c>
      <c r="G7" s="2">
        <v>0.14319999999999999</v>
      </c>
      <c r="H7" s="2">
        <v>0.1182</v>
      </c>
      <c r="I7" s="2">
        <v>0.1047</v>
      </c>
      <c r="K7" s="37" t="s">
        <v>4</v>
      </c>
      <c r="L7" s="38" t="s">
        <v>71</v>
      </c>
      <c r="M7" s="38" t="s">
        <v>72</v>
      </c>
      <c r="N7" s="38" t="s">
        <v>73</v>
      </c>
      <c r="O7" s="14"/>
      <c r="P7" s="37" t="s">
        <v>18</v>
      </c>
      <c r="Q7" s="38" t="s">
        <v>109</v>
      </c>
      <c r="R7" s="38" t="s">
        <v>110</v>
      </c>
      <c r="S7" s="38" t="s">
        <v>111</v>
      </c>
      <c r="U7" s="37" t="s">
        <v>4</v>
      </c>
      <c r="V7" s="38" t="s">
        <v>152</v>
      </c>
      <c r="W7" s="38" t="s">
        <v>153</v>
      </c>
      <c r="X7" s="38" t="s">
        <v>154</v>
      </c>
      <c r="Y7" s="14"/>
      <c r="Z7" s="37" t="s">
        <v>18</v>
      </c>
      <c r="AA7" s="38" t="s">
        <v>188</v>
      </c>
      <c r="AB7" s="38" t="s">
        <v>189</v>
      </c>
      <c r="AC7" s="38" t="s">
        <v>190</v>
      </c>
      <c r="AE7" s="37" t="s">
        <v>4</v>
      </c>
      <c r="AF7" s="38" t="s">
        <v>229</v>
      </c>
      <c r="AG7" s="38" t="s">
        <v>230</v>
      </c>
      <c r="AH7" s="38" t="s">
        <v>231</v>
      </c>
      <c r="AI7" s="14"/>
      <c r="AJ7" s="37" t="s">
        <v>18</v>
      </c>
      <c r="AK7" s="38" t="s">
        <v>265</v>
      </c>
      <c r="AL7" s="38" t="s">
        <v>266</v>
      </c>
      <c r="AM7" s="38" t="s">
        <v>267</v>
      </c>
      <c r="AO7" s="37" t="s">
        <v>4</v>
      </c>
      <c r="AP7" s="38" t="s">
        <v>229</v>
      </c>
      <c r="AQ7" s="38" t="s">
        <v>230</v>
      </c>
      <c r="AR7" s="38" t="s">
        <v>231</v>
      </c>
      <c r="AS7" s="14"/>
      <c r="AT7" s="37" t="s">
        <v>18</v>
      </c>
      <c r="AU7" s="38" t="s">
        <v>230</v>
      </c>
      <c r="AV7" s="38" t="s">
        <v>315</v>
      </c>
      <c r="AW7" s="38" t="s">
        <v>316</v>
      </c>
      <c r="AY7" s="37" t="s">
        <v>4</v>
      </c>
      <c r="AZ7" s="38" t="s">
        <v>229</v>
      </c>
      <c r="BA7" s="38" t="s">
        <v>230</v>
      </c>
      <c r="BB7" s="38" t="s">
        <v>231</v>
      </c>
      <c r="BC7" s="14"/>
      <c r="BD7" s="37" t="s">
        <v>18</v>
      </c>
      <c r="BE7" s="38" t="s">
        <v>369</v>
      </c>
      <c r="BF7" s="38" t="s">
        <v>236</v>
      </c>
      <c r="BG7" s="38" t="s">
        <v>370</v>
      </c>
      <c r="BI7" s="37" t="s">
        <v>4</v>
      </c>
      <c r="BJ7" s="38" t="s">
        <v>229</v>
      </c>
      <c r="BK7" s="38" t="s">
        <v>230</v>
      </c>
      <c r="BL7" s="38" t="s">
        <v>231</v>
      </c>
      <c r="BM7" s="14"/>
      <c r="BN7" s="37" t="s">
        <v>18</v>
      </c>
      <c r="BO7" s="38" t="s">
        <v>404</v>
      </c>
      <c r="BP7" s="38" t="s">
        <v>405</v>
      </c>
      <c r="BQ7" s="38" t="s">
        <v>95</v>
      </c>
      <c r="BS7" s="37" t="s">
        <v>4</v>
      </c>
      <c r="BT7" s="38" t="s">
        <v>229</v>
      </c>
      <c r="BU7" s="38" t="s">
        <v>230</v>
      </c>
      <c r="BV7" s="38" t="s">
        <v>231</v>
      </c>
      <c r="BW7" s="14"/>
      <c r="BX7" s="37" t="s">
        <v>18</v>
      </c>
      <c r="BY7" s="38" t="s">
        <v>449</v>
      </c>
      <c r="BZ7" s="38" t="s">
        <v>450</v>
      </c>
      <c r="CA7" s="38" t="s">
        <v>451</v>
      </c>
      <c r="CC7" s="37" t="s">
        <v>4</v>
      </c>
      <c r="CD7" s="38" t="s">
        <v>229</v>
      </c>
      <c r="CE7" s="38" t="s">
        <v>230</v>
      </c>
      <c r="CF7" s="38" t="s">
        <v>231</v>
      </c>
      <c r="CG7" s="14"/>
      <c r="CH7" s="37" t="s">
        <v>18</v>
      </c>
      <c r="CI7" s="38" t="s">
        <v>492</v>
      </c>
      <c r="CJ7" s="38" t="s">
        <v>493</v>
      </c>
      <c r="CK7" s="38" t="s">
        <v>494</v>
      </c>
      <c r="CM7" s="37" t="s">
        <v>4</v>
      </c>
      <c r="CN7" s="38" t="s">
        <v>229</v>
      </c>
      <c r="CO7" s="38" t="s">
        <v>230</v>
      </c>
      <c r="CP7" s="38" t="s">
        <v>231</v>
      </c>
      <c r="CQ7" s="14"/>
      <c r="CR7" s="37" t="s">
        <v>18</v>
      </c>
      <c r="CS7" s="38" t="s">
        <v>175</v>
      </c>
      <c r="CT7" s="38" t="s">
        <v>536</v>
      </c>
      <c r="CU7" s="38" t="s">
        <v>537</v>
      </c>
    </row>
    <row r="8" spans="1:99" x14ac:dyDescent="0.35">
      <c r="A8" s="1" t="s">
        <v>5</v>
      </c>
      <c r="B8" s="3">
        <v>-4.4000000000000003E-3</v>
      </c>
      <c r="C8" s="4">
        <v>3.6400000000000002E-2</v>
      </c>
      <c r="D8" s="4">
        <v>4.6199999999999998E-2</v>
      </c>
      <c r="E8" s="14"/>
      <c r="F8" s="1" t="s">
        <v>19</v>
      </c>
      <c r="G8" s="5">
        <v>-0.18</v>
      </c>
      <c r="H8" s="5">
        <v>-0.04</v>
      </c>
      <c r="I8" s="5">
        <v>0.12</v>
      </c>
      <c r="K8" s="37" t="s">
        <v>5</v>
      </c>
      <c r="L8" s="39" t="s">
        <v>74</v>
      </c>
      <c r="M8" s="40" t="s">
        <v>75</v>
      </c>
      <c r="N8" s="40" t="s">
        <v>76</v>
      </c>
      <c r="O8" s="14"/>
      <c r="P8" s="37" t="s">
        <v>19</v>
      </c>
      <c r="Q8" s="38" t="s">
        <v>112</v>
      </c>
      <c r="R8" s="38" t="s">
        <v>113</v>
      </c>
      <c r="S8" s="38" t="s">
        <v>114</v>
      </c>
      <c r="U8" s="37" t="s">
        <v>5</v>
      </c>
      <c r="V8" s="40" t="s">
        <v>155</v>
      </c>
      <c r="W8" s="40" t="s">
        <v>156</v>
      </c>
      <c r="X8" s="40" t="s">
        <v>71</v>
      </c>
      <c r="Y8" s="14"/>
      <c r="Z8" s="37" t="s">
        <v>19</v>
      </c>
      <c r="AA8" s="38" t="s">
        <v>191</v>
      </c>
      <c r="AB8" s="38" t="s">
        <v>192</v>
      </c>
      <c r="AC8" s="38" t="s">
        <v>193</v>
      </c>
      <c r="AE8" s="37" t="s">
        <v>5</v>
      </c>
      <c r="AF8" s="40" t="s">
        <v>232</v>
      </c>
      <c r="AG8" s="40" t="s">
        <v>233</v>
      </c>
      <c r="AH8" s="40" t="s">
        <v>234</v>
      </c>
      <c r="AI8" s="14"/>
      <c r="AJ8" s="37" t="s">
        <v>19</v>
      </c>
      <c r="AK8" s="38" t="s">
        <v>268</v>
      </c>
      <c r="AL8" s="38" t="s">
        <v>269</v>
      </c>
      <c r="AM8" s="38" t="s">
        <v>270</v>
      </c>
      <c r="AO8" s="37" t="s">
        <v>5</v>
      </c>
      <c r="AP8" s="40" t="s">
        <v>293</v>
      </c>
      <c r="AQ8" s="40" t="s">
        <v>294</v>
      </c>
      <c r="AR8" s="40" t="s">
        <v>295</v>
      </c>
      <c r="AS8" s="14"/>
      <c r="AT8" s="37" t="s">
        <v>19</v>
      </c>
      <c r="AU8" s="38" t="s">
        <v>317</v>
      </c>
      <c r="AV8" s="38" t="s">
        <v>318</v>
      </c>
      <c r="AW8" s="38" t="s">
        <v>191</v>
      </c>
      <c r="AY8" s="37" t="s">
        <v>5</v>
      </c>
      <c r="AZ8" s="40" t="s">
        <v>346</v>
      </c>
      <c r="BA8" s="40" t="s">
        <v>347</v>
      </c>
      <c r="BB8" s="40" t="s">
        <v>348</v>
      </c>
      <c r="BC8" s="14"/>
      <c r="BD8" s="37" t="s">
        <v>19</v>
      </c>
      <c r="BE8" s="38" t="s">
        <v>371</v>
      </c>
      <c r="BF8" s="38" t="s">
        <v>332</v>
      </c>
      <c r="BG8" s="38" t="s">
        <v>333</v>
      </c>
      <c r="BI8" s="37" t="s">
        <v>5</v>
      </c>
      <c r="BJ8" s="40" t="s">
        <v>390</v>
      </c>
      <c r="BK8" s="40" t="s">
        <v>391</v>
      </c>
      <c r="BL8" s="40" t="s">
        <v>95</v>
      </c>
      <c r="BM8" s="14"/>
      <c r="BN8" s="37" t="s">
        <v>19</v>
      </c>
      <c r="BO8" s="38" t="s">
        <v>406</v>
      </c>
      <c r="BP8" s="38" t="s">
        <v>407</v>
      </c>
      <c r="BQ8" s="38" t="s">
        <v>95</v>
      </c>
      <c r="BS8" s="37" t="s">
        <v>5</v>
      </c>
      <c r="BT8" s="40" t="s">
        <v>423</v>
      </c>
      <c r="BU8" s="40" t="s">
        <v>424</v>
      </c>
      <c r="BV8" s="40" t="s">
        <v>425</v>
      </c>
      <c r="BW8" s="14"/>
      <c r="BX8" s="37" t="s">
        <v>19</v>
      </c>
      <c r="BY8" s="38" t="s">
        <v>452</v>
      </c>
      <c r="BZ8" s="38" t="s">
        <v>453</v>
      </c>
      <c r="CA8" s="38" t="s">
        <v>134</v>
      </c>
      <c r="CC8" s="37" t="s">
        <v>5</v>
      </c>
      <c r="CD8" s="40" t="s">
        <v>471</v>
      </c>
      <c r="CE8" s="40" t="s">
        <v>472</v>
      </c>
      <c r="CF8" s="40" t="s">
        <v>473</v>
      </c>
      <c r="CG8" s="14"/>
      <c r="CH8" s="37" t="s">
        <v>19</v>
      </c>
      <c r="CI8" s="38" t="s">
        <v>495</v>
      </c>
      <c r="CJ8" s="38" t="s">
        <v>496</v>
      </c>
      <c r="CK8" s="38" t="s">
        <v>212</v>
      </c>
      <c r="CM8" s="37" t="s">
        <v>5</v>
      </c>
      <c r="CN8" s="40" t="s">
        <v>514</v>
      </c>
      <c r="CO8" s="40" t="s">
        <v>515</v>
      </c>
      <c r="CP8" s="40" t="s">
        <v>516</v>
      </c>
      <c r="CQ8" s="14"/>
      <c r="CR8" s="37" t="s">
        <v>19</v>
      </c>
      <c r="CS8" s="38" t="s">
        <v>538</v>
      </c>
      <c r="CT8" s="38" t="s">
        <v>539</v>
      </c>
      <c r="CU8" s="38" t="s">
        <v>540</v>
      </c>
    </row>
    <row r="9" spans="1:99" x14ac:dyDescent="0.35">
      <c r="A9" s="1" t="s">
        <v>6</v>
      </c>
      <c r="B9" s="2">
        <v>2.3599999999999999E-2</v>
      </c>
      <c r="C9" s="2">
        <v>0.12509999999999999</v>
      </c>
      <c r="D9" s="2">
        <v>9.7600000000000006E-2</v>
      </c>
      <c r="E9" s="14"/>
      <c r="F9" s="1" t="s">
        <v>20</v>
      </c>
      <c r="G9" s="5">
        <v>0.67</v>
      </c>
      <c r="H9" s="5">
        <v>0.76</v>
      </c>
      <c r="I9" s="5">
        <v>0.82</v>
      </c>
      <c r="K9" s="37" t="s">
        <v>6</v>
      </c>
      <c r="L9" s="38" t="s">
        <v>77</v>
      </c>
      <c r="M9" s="38" t="s">
        <v>78</v>
      </c>
      <c r="N9" s="38" t="s">
        <v>79</v>
      </c>
      <c r="O9" s="14"/>
      <c r="P9" s="37" t="s">
        <v>20</v>
      </c>
      <c r="Q9" s="38" t="s">
        <v>115</v>
      </c>
      <c r="R9" s="38" t="s">
        <v>116</v>
      </c>
      <c r="S9" s="38" t="s">
        <v>107</v>
      </c>
      <c r="U9" s="37" t="s">
        <v>6</v>
      </c>
      <c r="V9" s="38" t="s">
        <v>157</v>
      </c>
      <c r="W9" s="38" t="s">
        <v>158</v>
      </c>
      <c r="X9" s="38" t="s">
        <v>159</v>
      </c>
      <c r="Y9" s="14"/>
      <c r="Z9" s="37" t="s">
        <v>20</v>
      </c>
      <c r="AA9" s="38" t="s">
        <v>194</v>
      </c>
      <c r="AB9" s="38" t="s">
        <v>195</v>
      </c>
      <c r="AC9" s="38" t="s">
        <v>131</v>
      </c>
      <c r="AE9" s="37" t="s">
        <v>6</v>
      </c>
      <c r="AF9" s="38" t="s">
        <v>235</v>
      </c>
      <c r="AG9" s="38" t="s">
        <v>236</v>
      </c>
      <c r="AH9" s="38" t="s">
        <v>237</v>
      </c>
      <c r="AI9" s="14"/>
      <c r="AJ9" s="37" t="s">
        <v>20</v>
      </c>
      <c r="AK9" s="38" t="s">
        <v>107</v>
      </c>
      <c r="AL9" s="38" t="s">
        <v>203</v>
      </c>
      <c r="AM9" s="38" t="s">
        <v>203</v>
      </c>
      <c r="AO9" s="37" t="s">
        <v>6</v>
      </c>
      <c r="AP9" s="38" t="s">
        <v>235</v>
      </c>
      <c r="AQ9" s="38" t="s">
        <v>236</v>
      </c>
      <c r="AR9" s="38" t="s">
        <v>237</v>
      </c>
      <c r="AS9" s="14"/>
      <c r="AT9" s="37" t="s">
        <v>20</v>
      </c>
      <c r="AU9" s="38" t="s">
        <v>319</v>
      </c>
      <c r="AV9" s="38" t="s">
        <v>199</v>
      </c>
      <c r="AW9" s="38" t="s">
        <v>208</v>
      </c>
      <c r="AY9" s="37" t="s">
        <v>6</v>
      </c>
      <c r="AZ9" s="38" t="s">
        <v>235</v>
      </c>
      <c r="BA9" s="38" t="s">
        <v>236</v>
      </c>
      <c r="BB9" s="38" t="s">
        <v>237</v>
      </c>
      <c r="BC9" s="14"/>
      <c r="BD9" s="37" t="s">
        <v>20</v>
      </c>
      <c r="BE9" s="38" t="s">
        <v>372</v>
      </c>
      <c r="BF9" s="38" t="s">
        <v>273</v>
      </c>
      <c r="BG9" s="38" t="s">
        <v>373</v>
      </c>
      <c r="BI9" s="37" t="s">
        <v>6</v>
      </c>
      <c r="BJ9" s="38" t="s">
        <v>235</v>
      </c>
      <c r="BK9" s="38" t="s">
        <v>236</v>
      </c>
      <c r="BL9" s="38" t="s">
        <v>237</v>
      </c>
      <c r="BM9" s="14"/>
      <c r="BN9" s="37" t="s">
        <v>20</v>
      </c>
      <c r="BO9" s="38" t="s">
        <v>373</v>
      </c>
      <c r="BP9" s="38" t="s">
        <v>118</v>
      </c>
      <c r="BQ9" s="38" t="s">
        <v>95</v>
      </c>
      <c r="BS9" s="37" t="s">
        <v>6</v>
      </c>
      <c r="BT9" s="38" t="s">
        <v>235</v>
      </c>
      <c r="BU9" s="38" t="s">
        <v>236</v>
      </c>
      <c r="BV9" s="38" t="s">
        <v>237</v>
      </c>
      <c r="BW9" s="14"/>
      <c r="BX9" s="37" t="s">
        <v>20</v>
      </c>
      <c r="BY9" s="38" t="s">
        <v>131</v>
      </c>
      <c r="BZ9" s="38" t="s">
        <v>131</v>
      </c>
      <c r="CA9" s="38" t="s">
        <v>203</v>
      </c>
      <c r="CC9" s="37" t="s">
        <v>6</v>
      </c>
      <c r="CD9" s="38" t="s">
        <v>235</v>
      </c>
      <c r="CE9" s="38" t="s">
        <v>236</v>
      </c>
      <c r="CF9" s="38" t="s">
        <v>237</v>
      </c>
      <c r="CG9" s="14"/>
      <c r="CH9" s="37" t="s">
        <v>20</v>
      </c>
      <c r="CI9" s="38" t="s">
        <v>107</v>
      </c>
      <c r="CJ9" s="38" t="s">
        <v>129</v>
      </c>
      <c r="CK9" s="38" t="s">
        <v>326</v>
      </c>
      <c r="CM9" s="37" t="s">
        <v>6</v>
      </c>
      <c r="CN9" s="38" t="s">
        <v>235</v>
      </c>
      <c r="CO9" s="38" t="s">
        <v>236</v>
      </c>
      <c r="CP9" s="38" t="s">
        <v>237</v>
      </c>
      <c r="CQ9" s="14"/>
      <c r="CR9" s="37" t="s">
        <v>20</v>
      </c>
      <c r="CS9" s="38" t="s">
        <v>202</v>
      </c>
      <c r="CT9" s="38" t="s">
        <v>208</v>
      </c>
      <c r="CU9" s="38" t="s">
        <v>278</v>
      </c>
    </row>
    <row r="10" spans="1:99" x14ac:dyDescent="0.35">
      <c r="A10" s="1" t="s">
        <v>5</v>
      </c>
      <c r="B10" s="3">
        <v>-2.5899999999999999E-2</v>
      </c>
      <c r="C10" s="3">
        <v>-4.3E-3</v>
      </c>
      <c r="D10" s="4">
        <v>1.29E-2</v>
      </c>
      <c r="E10" s="14"/>
      <c r="F10" s="1" t="s">
        <v>21</v>
      </c>
      <c r="G10" s="5">
        <v>0.66</v>
      </c>
      <c r="H10" s="5">
        <v>0.67</v>
      </c>
      <c r="I10" s="5">
        <v>0.74</v>
      </c>
      <c r="K10" s="37" t="s">
        <v>5</v>
      </c>
      <c r="L10" s="39" t="s">
        <v>80</v>
      </c>
      <c r="M10" s="39" t="s">
        <v>81</v>
      </c>
      <c r="N10" s="40" t="s">
        <v>82</v>
      </c>
      <c r="O10" s="14"/>
      <c r="P10" s="37" t="s">
        <v>21</v>
      </c>
      <c r="Q10" s="38" t="s">
        <v>108</v>
      </c>
      <c r="R10" s="38" t="s">
        <v>115</v>
      </c>
      <c r="S10" s="38" t="s">
        <v>117</v>
      </c>
      <c r="U10" s="37" t="s">
        <v>5</v>
      </c>
      <c r="V10" s="40" t="s">
        <v>160</v>
      </c>
      <c r="W10" s="39" t="s">
        <v>161</v>
      </c>
      <c r="X10" s="39" t="s">
        <v>162</v>
      </c>
      <c r="Y10" s="14"/>
      <c r="Z10" s="37" t="s">
        <v>21</v>
      </c>
      <c r="AA10" s="38" t="s">
        <v>196</v>
      </c>
      <c r="AB10" s="38" t="s">
        <v>197</v>
      </c>
      <c r="AC10" s="38" t="s">
        <v>198</v>
      </c>
      <c r="AE10" s="37" t="s">
        <v>5</v>
      </c>
      <c r="AF10" s="40" t="s">
        <v>238</v>
      </c>
      <c r="AG10" s="39" t="s">
        <v>239</v>
      </c>
      <c r="AH10" s="39" t="s">
        <v>240</v>
      </c>
      <c r="AI10" s="14"/>
      <c r="AJ10" s="37" t="s">
        <v>21</v>
      </c>
      <c r="AK10" s="38" t="s">
        <v>199</v>
      </c>
      <c r="AL10" s="38" t="s">
        <v>204</v>
      </c>
      <c r="AM10" s="38" t="s">
        <v>198</v>
      </c>
      <c r="AO10" s="37" t="s">
        <v>5</v>
      </c>
      <c r="AP10" s="40" t="s">
        <v>296</v>
      </c>
      <c r="AQ10" s="39" t="s">
        <v>297</v>
      </c>
      <c r="AR10" s="39" t="s">
        <v>298</v>
      </c>
      <c r="AS10" s="14"/>
      <c r="AT10" s="37" t="s">
        <v>21</v>
      </c>
      <c r="AU10" s="38" t="s">
        <v>320</v>
      </c>
      <c r="AV10" s="38" t="s">
        <v>321</v>
      </c>
      <c r="AW10" s="38" t="s">
        <v>203</v>
      </c>
      <c r="AY10" s="37" t="s">
        <v>5</v>
      </c>
      <c r="AZ10" s="40" t="s">
        <v>349</v>
      </c>
      <c r="BA10" s="39" t="s">
        <v>350</v>
      </c>
      <c r="BB10" s="39" t="s">
        <v>351</v>
      </c>
      <c r="BC10" s="14"/>
      <c r="BD10" s="37" t="s">
        <v>21</v>
      </c>
      <c r="BE10" s="38" t="s">
        <v>374</v>
      </c>
      <c r="BF10" s="38" t="s">
        <v>332</v>
      </c>
      <c r="BG10" s="38" t="s">
        <v>271</v>
      </c>
      <c r="BI10" s="37" t="s">
        <v>5</v>
      </c>
      <c r="BJ10" s="40" t="s">
        <v>392</v>
      </c>
      <c r="BK10" s="39" t="s">
        <v>393</v>
      </c>
      <c r="BL10" s="39" t="s">
        <v>95</v>
      </c>
      <c r="BM10" s="14"/>
      <c r="BN10" s="37" t="s">
        <v>21</v>
      </c>
      <c r="BO10" s="38" t="s">
        <v>272</v>
      </c>
      <c r="BP10" s="38" t="s">
        <v>195</v>
      </c>
      <c r="BQ10" s="38" t="s">
        <v>95</v>
      </c>
      <c r="BS10" s="37" t="s">
        <v>5</v>
      </c>
      <c r="BT10" s="40" t="s">
        <v>426</v>
      </c>
      <c r="BU10" s="39" t="s">
        <v>427</v>
      </c>
      <c r="BV10" s="39" t="s">
        <v>428</v>
      </c>
      <c r="BW10" s="14"/>
      <c r="BX10" s="37" t="s">
        <v>21</v>
      </c>
      <c r="BY10" s="38" t="s">
        <v>454</v>
      </c>
      <c r="BZ10" s="38" t="s">
        <v>324</v>
      </c>
      <c r="CA10" s="38" t="s">
        <v>199</v>
      </c>
      <c r="CC10" s="37" t="s">
        <v>5</v>
      </c>
      <c r="CD10" s="40" t="s">
        <v>474</v>
      </c>
      <c r="CE10" s="39" t="s">
        <v>475</v>
      </c>
      <c r="CF10" s="39" t="s">
        <v>476</v>
      </c>
      <c r="CG10" s="14"/>
      <c r="CH10" s="37" t="s">
        <v>21</v>
      </c>
      <c r="CI10" s="38" t="s">
        <v>100</v>
      </c>
      <c r="CJ10" s="38" t="s">
        <v>332</v>
      </c>
      <c r="CK10" s="38" t="s">
        <v>131</v>
      </c>
      <c r="CM10" s="37" t="s">
        <v>5</v>
      </c>
      <c r="CN10" s="40" t="s">
        <v>517</v>
      </c>
      <c r="CO10" s="39" t="s">
        <v>518</v>
      </c>
      <c r="CP10" s="39" t="s">
        <v>519</v>
      </c>
      <c r="CQ10" s="14"/>
      <c r="CR10" s="37" t="s">
        <v>21</v>
      </c>
      <c r="CS10" s="38" t="s">
        <v>273</v>
      </c>
      <c r="CT10" s="38" t="s">
        <v>129</v>
      </c>
      <c r="CU10" s="38" t="s">
        <v>325</v>
      </c>
    </row>
    <row r="11" spans="1:99" x14ac:dyDescent="0.35">
      <c r="A11" s="84" t="s">
        <v>7</v>
      </c>
      <c r="B11" s="85"/>
      <c r="C11" s="85"/>
      <c r="D11" s="86"/>
      <c r="E11" s="14"/>
      <c r="F11" s="6" t="s">
        <v>22</v>
      </c>
      <c r="G11" s="7">
        <v>1.04</v>
      </c>
      <c r="H11" s="7">
        <v>1.42</v>
      </c>
      <c r="I11" s="7">
        <v>1.35</v>
      </c>
      <c r="K11" s="71" t="s">
        <v>7</v>
      </c>
      <c r="L11" s="72"/>
      <c r="M11" s="72"/>
      <c r="N11" s="73"/>
      <c r="O11" s="14"/>
      <c r="P11" s="37" t="s">
        <v>22</v>
      </c>
      <c r="Q11" s="38" t="s">
        <v>118</v>
      </c>
      <c r="R11" s="38" t="s">
        <v>119</v>
      </c>
      <c r="S11" s="38" t="s">
        <v>120</v>
      </c>
      <c r="U11" s="59" t="s">
        <v>7</v>
      </c>
      <c r="V11" s="59"/>
      <c r="W11" s="59"/>
      <c r="X11" s="59"/>
      <c r="Y11" s="14"/>
      <c r="Z11" s="37" t="s">
        <v>22</v>
      </c>
      <c r="AA11" s="38" t="s">
        <v>199</v>
      </c>
      <c r="AB11" s="38" t="s">
        <v>200</v>
      </c>
      <c r="AC11" s="38" t="s">
        <v>201</v>
      </c>
      <c r="AE11" s="59" t="s">
        <v>7</v>
      </c>
      <c r="AF11" s="59"/>
      <c r="AG11" s="59"/>
      <c r="AH11" s="59"/>
      <c r="AI11" s="14"/>
      <c r="AJ11" s="37" t="s">
        <v>22</v>
      </c>
      <c r="AK11" s="38" t="s">
        <v>271</v>
      </c>
      <c r="AL11" s="38" t="s">
        <v>272</v>
      </c>
      <c r="AM11" s="38" t="s">
        <v>198</v>
      </c>
      <c r="AO11" s="59" t="s">
        <v>7</v>
      </c>
      <c r="AP11" s="59"/>
      <c r="AQ11" s="59"/>
      <c r="AR11" s="59"/>
      <c r="AS11" s="14"/>
      <c r="AT11" s="37" t="s">
        <v>22</v>
      </c>
      <c r="AU11" s="38" t="s">
        <v>322</v>
      </c>
      <c r="AV11" s="38" t="s">
        <v>119</v>
      </c>
      <c r="AW11" s="38" t="s">
        <v>323</v>
      </c>
      <c r="AY11" s="59" t="s">
        <v>7</v>
      </c>
      <c r="AZ11" s="59"/>
      <c r="BA11" s="59"/>
      <c r="BB11" s="59"/>
      <c r="BC11" s="14"/>
      <c r="BD11" s="37" t="s">
        <v>22</v>
      </c>
      <c r="BE11" s="38" t="s">
        <v>375</v>
      </c>
      <c r="BF11" s="38" t="s">
        <v>376</v>
      </c>
      <c r="BG11" s="38" t="s">
        <v>374</v>
      </c>
      <c r="BI11" s="59" t="s">
        <v>7</v>
      </c>
      <c r="BJ11" s="59"/>
      <c r="BK11" s="59"/>
      <c r="BL11" s="59"/>
      <c r="BM11" s="14"/>
      <c r="BN11" s="37" t="s">
        <v>22</v>
      </c>
      <c r="BO11" s="38" t="s">
        <v>273</v>
      </c>
      <c r="BP11" s="38" t="s">
        <v>408</v>
      </c>
      <c r="BQ11" s="38" t="s">
        <v>95</v>
      </c>
      <c r="BS11" s="59" t="s">
        <v>7</v>
      </c>
      <c r="BT11" s="59"/>
      <c r="BU11" s="59"/>
      <c r="BV11" s="59"/>
      <c r="BW11" s="14"/>
      <c r="BX11" s="37" t="s">
        <v>22</v>
      </c>
      <c r="BY11" s="38" t="s">
        <v>326</v>
      </c>
      <c r="BZ11" s="38" t="s">
        <v>374</v>
      </c>
      <c r="CA11" s="38" t="s">
        <v>210</v>
      </c>
      <c r="CC11" s="59" t="s">
        <v>7</v>
      </c>
      <c r="CD11" s="59"/>
      <c r="CE11" s="59"/>
      <c r="CF11" s="59"/>
      <c r="CG11" s="14"/>
      <c r="CH11" s="37" t="s">
        <v>22</v>
      </c>
      <c r="CI11" s="38" t="s">
        <v>198</v>
      </c>
      <c r="CJ11" s="38" t="s">
        <v>497</v>
      </c>
      <c r="CK11" s="38" t="s">
        <v>201</v>
      </c>
      <c r="CM11" s="59" t="s">
        <v>7</v>
      </c>
      <c r="CN11" s="59"/>
      <c r="CO11" s="59"/>
      <c r="CP11" s="59"/>
      <c r="CQ11" s="14"/>
      <c r="CR11" s="37" t="s">
        <v>22</v>
      </c>
      <c r="CS11" s="38" t="s">
        <v>198</v>
      </c>
      <c r="CT11" s="38" t="s">
        <v>541</v>
      </c>
      <c r="CU11" s="38" t="s">
        <v>272</v>
      </c>
    </row>
    <row r="12" spans="1:99" x14ac:dyDescent="0.35">
      <c r="A12" s="1" t="s">
        <v>8</v>
      </c>
      <c r="B12" s="2">
        <v>0.16400000000000001</v>
      </c>
      <c r="C12" s="2">
        <v>0.1464</v>
      </c>
      <c r="D12" s="2">
        <v>0.17119999999999999</v>
      </c>
      <c r="E12" s="14"/>
      <c r="F12" s="84" t="s">
        <v>23</v>
      </c>
      <c r="G12" s="85"/>
      <c r="H12" s="85"/>
      <c r="I12" s="86"/>
      <c r="K12" s="37" t="s">
        <v>8</v>
      </c>
      <c r="L12" s="38" t="s">
        <v>83</v>
      </c>
      <c r="M12" s="38" t="s">
        <v>84</v>
      </c>
      <c r="N12" s="38" t="s">
        <v>85</v>
      </c>
      <c r="O12" s="14"/>
      <c r="P12" s="71" t="s">
        <v>23</v>
      </c>
      <c r="Q12" s="72"/>
      <c r="R12" s="72"/>
      <c r="S12" s="73"/>
      <c r="U12" s="37" t="s">
        <v>8</v>
      </c>
      <c r="V12" s="38" t="s">
        <v>163</v>
      </c>
      <c r="W12" s="38" t="s">
        <v>164</v>
      </c>
      <c r="X12" s="38" t="s">
        <v>165</v>
      </c>
      <c r="Y12" s="14"/>
      <c r="Z12" s="59" t="s">
        <v>23</v>
      </c>
      <c r="AA12" s="59"/>
      <c r="AB12" s="59"/>
      <c r="AC12" s="59"/>
      <c r="AE12" s="37" t="s">
        <v>8</v>
      </c>
      <c r="AF12" s="38" t="s">
        <v>241</v>
      </c>
      <c r="AG12" s="38" t="s">
        <v>242</v>
      </c>
      <c r="AH12" s="38" t="s">
        <v>243</v>
      </c>
      <c r="AI12" s="14"/>
      <c r="AJ12" s="59" t="s">
        <v>23</v>
      </c>
      <c r="AK12" s="59"/>
      <c r="AL12" s="59"/>
      <c r="AM12" s="59"/>
      <c r="AO12" s="37" t="s">
        <v>8</v>
      </c>
      <c r="AP12" s="38" t="s">
        <v>299</v>
      </c>
      <c r="AQ12" s="38" t="s">
        <v>300</v>
      </c>
      <c r="AR12" s="38" t="s">
        <v>301</v>
      </c>
      <c r="AS12" s="14"/>
      <c r="AT12" s="59" t="s">
        <v>23</v>
      </c>
      <c r="AU12" s="59"/>
      <c r="AV12" s="59"/>
      <c r="AW12" s="59"/>
      <c r="AY12" s="37" t="s">
        <v>8</v>
      </c>
      <c r="AZ12" s="38" t="s">
        <v>352</v>
      </c>
      <c r="BA12" s="38" t="s">
        <v>353</v>
      </c>
      <c r="BB12" s="38" t="s">
        <v>354</v>
      </c>
      <c r="BC12" s="14"/>
      <c r="BD12" s="59" t="s">
        <v>23</v>
      </c>
      <c r="BE12" s="59"/>
      <c r="BF12" s="59"/>
      <c r="BG12" s="59"/>
      <c r="BI12" s="37" t="s">
        <v>8</v>
      </c>
      <c r="BJ12" s="38" t="s">
        <v>394</v>
      </c>
      <c r="BK12" s="38" t="s">
        <v>395</v>
      </c>
      <c r="BL12" s="38" t="s">
        <v>95</v>
      </c>
      <c r="BM12" s="14"/>
      <c r="BN12" s="59" t="s">
        <v>23</v>
      </c>
      <c r="BO12" s="59"/>
      <c r="BP12" s="59"/>
      <c r="BQ12" s="59"/>
      <c r="BS12" s="37" t="s">
        <v>8</v>
      </c>
      <c r="BT12" s="38" t="s">
        <v>429</v>
      </c>
      <c r="BU12" s="38" t="s">
        <v>430</v>
      </c>
      <c r="BV12" s="38" t="s">
        <v>431</v>
      </c>
      <c r="BW12" s="14"/>
      <c r="BX12" s="59" t="s">
        <v>23</v>
      </c>
      <c r="BY12" s="59"/>
      <c r="BZ12" s="59"/>
      <c r="CA12" s="59"/>
      <c r="CC12" s="37" t="s">
        <v>8</v>
      </c>
      <c r="CD12" s="38" t="s">
        <v>477</v>
      </c>
      <c r="CE12" s="38" t="s">
        <v>478</v>
      </c>
      <c r="CF12" s="38" t="s">
        <v>479</v>
      </c>
      <c r="CG12" s="14"/>
      <c r="CH12" s="59" t="s">
        <v>23</v>
      </c>
      <c r="CI12" s="59"/>
      <c r="CJ12" s="59"/>
      <c r="CK12" s="59"/>
      <c r="CM12" s="37" t="s">
        <v>8</v>
      </c>
      <c r="CN12" s="38" t="s">
        <v>520</v>
      </c>
      <c r="CO12" s="38" t="s">
        <v>521</v>
      </c>
      <c r="CP12" s="38" t="s">
        <v>522</v>
      </c>
      <c r="CQ12" s="14"/>
      <c r="CR12" s="59" t="s">
        <v>23</v>
      </c>
      <c r="CS12" s="59"/>
      <c r="CT12" s="59"/>
      <c r="CU12" s="59"/>
    </row>
    <row r="13" spans="1:99" x14ac:dyDescent="0.35">
      <c r="A13" s="1" t="s">
        <v>9</v>
      </c>
      <c r="B13" s="2">
        <v>0.14230000000000001</v>
      </c>
      <c r="C13" s="2">
        <v>0.1288</v>
      </c>
      <c r="D13" s="2">
        <v>0.14990000000000001</v>
      </c>
      <c r="E13" s="14"/>
      <c r="F13" s="8" t="s">
        <v>24</v>
      </c>
      <c r="G13" s="9">
        <v>0.63</v>
      </c>
      <c r="H13" s="9">
        <v>0.67</v>
      </c>
      <c r="I13" s="9">
        <v>0.81</v>
      </c>
      <c r="K13" s="37" t="s">
        <v>9</v>
      </c>
      <c r="L13" s="38" t="s">
        <v>86</v>
      </c>
      <c r="M13" s="38" t="s">
        <v>87</v>
      </c>
      <c r="N13" s="38" t="s">
        <v>88</v>
      </c>
      <c r="O13" s="14"/>
      <c r="P13" s="37" t="s">
        <v>24</v>
      </c>
      <c r="Q13" s="38" t="s">
        <v>121</v>
      </c>
      <c r="R13" s="38" t="s">
        <v>115</v>
      </c>
      <c r="S13" s="38" t="s">
        <v>122</v>
      </c>
      <c r="U13" s="37" t="s">
        <v>9</v>
      </c>
      <c r="V13" s="38" t="s">
        <v>166</v>
      </c>
      <c r="W13" s="38" t="s">
        <v>167</v>
      </c>
      <c r="X13" s="38" t="s">
        <v>168</v>
      </c>
      <c r="Y13" s="14"/>
      <c r="Z13" s="37" t="s">
        <v>24</v>
      </c>
      <c r="AA13" s="38" t="s">
        <v>202</v>
      </c>
      <c r="AB13" s="38" t="s">
        <v>203</v>
      </c>
      <c r="AC13" s="38" t="s">
        <v>204</v>
      </c>
      <c r="AE13" s="37" t="s">
        <v>9</v>
      </c>
      <c r="AF13" s="38" t="s">
        <v>244</v>
      </c>
      <c r="AG13" s="38" t="s">
        <v>245</v>
      </c>
      <c r="AH13" s="38" t="s">
        <v>246</v>
      </c>
      <c r="AI13" s="14"/>
      <c r="AJ13" s="37" t="s">
        <v>24</v>
      </c>
      <c r="AK13" s="38" t="s">
        <v>203</v>
      </c>
      <c r="AL13" s="38" t="s">
        <v>273</v>
      </c>
      <c r="AM13" s="38" t="s">
        <v>271</v>
      </c>
      <c r="AO13" s="37" t="s">
        <v>9</v>
      </c>
      <c r="AP13" s="38" t="s">
        <v>244</v>
      </c>
      <c r="AQ13" s="38" t="s">
        <v>245</v>
      </c>
      <c r="AR13" s="38" t="s">
        <v>246</v>
      </c>
      <c r="AS13" s="14"/>
      <c r="AT13" s="37" t="s">
        <v>24</v>
      </c>
      <c r="AU13" s="38" t="s">
        <v>324</v>
      </c>
      <c r="AV13" s="38" t="s">
        <v>325</v>
      </c>
      <c r="AW13" s="38" t="s">
        <v>326</v>
      </c>
      <c r="AY13" s="37" t="s">
        <v>9</v>
      </c>
      <c r="AZ13" s="38" t="s">
        <v>244</v>
      </c>
      <c r="BA13" s="38" t="s">
        <v>245</v>
      </c>
      <c r="BB13" s="38" t="s">
        <v>246</v>
      </c>
      <c r="BC13" s="14"/>
      <c r="BD13" s="37" t="s">
        <v>24</v>
      </c>
      <c r="BE13" s="38" t="s">
        <v>372</v>
      </c>
      <c r="BF13" s="38" t="s">
        <v>330</v>
      </c>
      <c r="BG13" s="38" t="s">
        <v>210</v>
      </c>
      <c r="BI13" s="37" t="s">
        <v>9</v>
      </c>
      <c r="BJ13" s="38" t="s">
        <v>244</v>
      </c>
      <c r="BK13" s="38" t="s">
        <v>245</v>
      </c>
      <c r="BL13" s="38" t="s">
        <v>246</v>
      </c>
      <c r="BM13" s="14"/>
      <c r="BN13" s="37" t="s">
        <v>24</v>
      </c>
      <c r="BO13" s="38" t="s">
        <v>375</v>
      </c>
      <c r="BP13" s="38" t="s">
        <v>199</v>
      </c>
      <c r="BQ13" s="38" t="s">
        <v>95</v>
      </c>
      <c r="BS13" s="37" t="s">
        <v>9</v>
      </c>
      <c r="BT13" s="38" t="s">
        <v>244</v>
      </c>
      <c r="BU13" s="38" t="s">
        <v>245</v>
      </c>
      <c r="BV13" s="38" t="s">
        <v>246</v>
      </c>
      <c r="BW13" s="14"/>
      <c r="BX13" s="37" t="s">
        <v>24</v>
      </c>
      <c r="BY13" s="38" t="s">
        <v>380</v>
      </c>
      <c r="BZ13" s="38" t="s">
        <v>325</v>
      </c>
      <c r="CA13" s="38" t="s">
        <v>208</v>
      </c>
      <c r="CC13" s="37" t="s">
        <v>9</v>
      </c>
      <c r="CD13" s="38" t="s">
        <v>244</v>
      </c>
      <c r="CE13" s="38" t="s">
        <v>245</v>
      </c>
      <c r="CF13" s="38" t="s">
        <v>246</v>
      </c>
      <c r="CG13" s="14"/>
      <c r="CH13" s="37" t="s">
        <v>24</v>
      </c>
      <c r="CI13" s="38" t="s">
        <v>326</v>
      </c>
      <c r="CJ13" s="38" t="s">
        <v>131</v>
      </c>
      <c r="CK13" s="38" t="s">
        <v>278</v>
      </c>
      <c r="CM13" s="37" t="s">
        <v>9</v>
      </c>
      <c r="CN13" s="38" t="s">
        <v>244</v>
      </c>
      <c r="CO13" s="38" t="s">
        <v>245</v>
      </c>
      <c r="CP13" s="38" t="s">
        <v>246</v>
      </c>
      <c r="CQ13" s="14"/>
      <c r="CR13" s="37" t="s">
        <v>24</v>
      </c>
      <c r="CS13" s="38" t="s">
        <v>278</v>
      </c>
      <c r="CT13" s="38" t="s">
        <v>279</v>
      </c>
      <c r="CU13" s="38" t="s">
        <v>273</v>
      </c>
    </row>
    <row r="14" spans="1:99" x14ac:dyDescent="0.35">
      <c r="A14" s="1" t="s">
        <v>10</v>
      </c>
      <c r="B14" s="2">
        <v>0.1573</v>
      </c>
      <c r="C14" s="2">
        <v>0.1484</v>
      </c>
      <c r="D14" s="2">
        <v>0.1724</v>
      </c>
      <c r="E14" s="14"/>
      <c r="F14" s="1" t="s">
        <v>25</v>
      </c>
      <c r="G14" s="5">
        <v>36.44</v>
      </c>
      <c r="H14" s="5">
        <v>46.04</v>
      </c>
      <c r="I14" s="5">
        <v>66.3</v>
      </c>
      <c r="K14" s="37" t="s">
        <v>10</v>
      </c>
      <c r="L14" s="38" t="s">
        <v>89</v>
      </c>
      <c r="M14" s="38" t="s">
        <v>90</v>
      </c>
      <c r="N14" s="38" t="s">
        <v>91</v>
      </c>
      <c r="O14" s="14"/>
      <c r="P14" s="37" t="s">
        <v>25</v>
      </c>
      <c r="Q14" s="38" t="s">
        <v>123</v>
      </c>
      <c r="R14" s="38" t="s">
        <v>124</v>
      </c>
      <c r="S14" s="38" t="s">
        <v>125</v>
      </c>
      <c r="U14" s="37" t="s">
        <v>10</v>
      </c>
      <c r="V14" s="38" t="s">
        <v>169</v>
      </c>
      <c r="W14" s="38" t="s">
        <v>170</v>
      </c>
      <c r="X14" s="38" t="s">
        <v>171</v>
      </c>
      <c r="Y14" s="14"/>
      <c r="Z14" s="37" t="s">
        <v>25</v>
      </c>
      <c r="AA14" s="38" t="s">
        <v>205</v>
      </c>
      <c r="AB14" s="38" t="s">
        <v>206</v>
      </c>
      <c r="AC14" s="38" t="s">
        <v>207</v>
      </c>
      <c r="AE14" s="37" t="s">
        <v>10</v>
      </c>
      <c r="AF14" s="38" t="s">
        <v>247</v>
      </c>
      <c r="AG14" s="38" t="s">
        <v>248</v>
      </c>
      <c r="AH14" s="38" t="s">
        <v>249</v>
      </c>
      <c r="AI14" s="14"/>
      <c r="AJ14" s="37" t="s">
        <v>25</v>
      </c>
      <c r="AK14" s="38" t="s">
        <v>274</v>
      </c>
      <c r="AL14" s="38" t="s">
        <v>275</v>
      </c>
      <c r="AM14" s="38" t="s">
        <v>276</v>
      </c>
      <c r="AO14" s="37" t="s">
        <v>10</v>
      </c>
      <c r="AP14" s="38" t="s">
        <v>247</v>
      </c>
      <c r="AQ14" s="38" t="s">
        <v>248</v>
      </c>
      <c r="AR14" s="38" t="s">
        <v>249</v>
      </c>
      <c r="AS14" s="14"/>
      <c r="AT14" s="37" t="s">
        <v>25</v>
      </c>
      <c r="AU14" s="38" t="s">
        <v>327</v>
      </c>
      <c r="AV14" s="38" t="s">
        <v>328</v>
      </c>
      <c r="AW14" s="38" t="s">
        <v>329</v>
      </c>
      <c r="AY14" s="37" t="s">
        <v>10</v>
      </c>
      <c r="AZ14" s="38" t="s">
        <v>247</v>
      </c>
      <c r="BA14" s="38" t="s">
        <v>248</v>
      </c>
      <c r="BB14" s="38" t="s">
        <v>249</v>
      </c>
      <c r="BC14" s="14"/>
      <c r="BD14" s="37" t="s">
        <v>25</v>
      </c>
      <c r="BE14" s="38" t="s">
        <v>377</v>
      </c>
      <c r="BF14" s="38" t="s">
        <v>378</v>
      </c>
      <c r="BG14" s="38" t="s">
        <v>379</v>
      </c>
      <c r="BI14" s="37" t="s">
        <v>10</v>
      </c>
      <c r="BJ14" s="38" t="s">
        <v>247</v>
      </c>
      <c r="BK14" s="38" t="s">
        <v>248</v>
      </c>
      <c r="BL14" s="38" t="s">
        <v>249</v>
      </c>
      <c r="BM14" s="14"/>
      <c r="BN14" s="37" t="s">
        <v>25</v>
      </c>
      <c r="BO14" s="38" t="s">
        <v>409</v>
      </c>
      <c r="BP14" s="38" t="s">
        <v>410</v>
      </c>
      <c r="BQ14" s="38" t="s">
        <v>95</v>
      </c>
      <c r="BS14" s="37" t="s">
        <v>10</v>
      </c>
      <c r="BT14" s="38" t="s">
        <v>247</v>
      </c>
      <c r="BU14" s="38" t="s">
        <v>248</v>
      </c>
      <c r="BV14" s="38" t="s">
        <v>249</v>
      </c>
      <c r="BW14" s="14"/>
      <c r="BX14" s="37" t="s">
        <v>25</v>
      </c>
      <c r="BY14" s="38" t="s">
        <v>455</v>
      </c>
      <c r="BZ14" s="38" t="s">
        <v>456</v>
      </c>
      <c r="CA14" s="38" t="s">
        <v>457</v>
      </c>
      <c r="CC14" s="37" t="s">
        <v>10</v>
      </c>
      <c r="CD14" s="38" t="s">
        <v>247</v>
      </c>
      <c r="CE14" s="38" t="s">
        <v>248</v>
      </c>
      <c r="CF14" s="38" t="s">
        <v>249</v>
      </c>
      <c r="CG14" s="14"/>
      <c r="CH14" s="37" t="s">
        <v>25</v>
      </c>
      <c r="CI14" s="38" t="s">
        <v>498</v>
      </c>
      <c r="CJ14" s="38" t="s">
        <v>499</v>
      </c>
      <c r="CK14" s="38" t="s">
        <v>500</v>
      </c>
      <c r="CM14" s="37" t="s">
        <v>10</v>
      </c>
      <c r="CN14" s="38" t="s">
        <v>247</v>
      </c>
      <c r="CO14" s="38" t="s">
        <v>248</v>
      </c>
      <c r="CP14" s="38" t="s">
        <v>249</v>
      </c>
      <c r="CQ14" s="14"/>
      <c r="CR14" s="37" t="s">
        <v>25</v>
      </c>
      <c r="CS14" s="38" t="s">
        <v>542</v>
      </c>
      <c r="CT14" s="38" t="s">
        <v>543</v>
      </c>
      <c r="CU14" s="38" t="s">
        <v>544</v>
      </c>
    </row>
    <row r="15" spans="1:99" x14ac:dyDescent="0.35">
      <c r="A15" s="1" t="s">
        <v>11</v>
      </c>
      <c r="B15" s="2">
        <v>-0.18190000000000001</v>
      </c>
      <c r="C15" s="2">
        <v>-0.25219999999999998</v>
      </c>
      <c r="D15" s="2">
        <v>-0.3231</v>
      </c>
      <c r="E15" s="14"/>
      <c r="F15" s="1" t="s">
        <v>26</v>
      </c>
      <c r="G15" s="5">
        <v>0.24</v>
      </c>
      <c r="H15" s="5">
        <v>0.45</v>
      </c>
      <c r="I15" s="5">
        <v>0.73</v>
      </c>
      <c r="K15" s="37" t="s">
        <v>11</v>
      </c>
      <c r="L15" s="38" t="s">
        <v>92</v>
      </c>
      <c r="M15" s="38" t="s">
        <v>93</v>
      </c>
      <c r="N15" s="38" t="s">
        <v>94</v>
      </c>
      <c r="O15" s="14"/>
      <c r="P15" s="37" t="s">
        <v>26</v>
      </c>
      <c r="Q15" s="38" t="s">
        <v>126</v>
      </c>
      <c r="R15" s="38" t="s">
        <v>127</v>
      </c>
      <c r="S15" s="38" t="s">
        <v>128</v>
      </c>
      <c r="U15" s="37" t="s">
        <v>11</v>
      </c>
      <c r="V15" s="38" t="s">
        <v>172</v>
      </c>
      <c r="W15" s="38" t="s">
        <v>173</v>
      </c>
      <c r="X15" s="38" t="s">
        <v>174</v>
      </c>
      <c r="Y15" s="14"/>
      <c r="Z15" s="37" t="s">
        <v>26</v>
      </c>
      <c r="AA15" s="38" t="s">
        <v>197</v>
      </c>
      <c r="AB15" s="38" t="s">
        <v>208</v>
      </c>
      <c r="AC15" s="38" t="s">
        <v>100</v>
      </c>
      <c r="AE15" s="37" t="s">
        <v>11</v>
      </c>
      <c r="AF15" s="38" t="s">
        <v>250</v>
      </c>
      <c r="AG15" s="38" t="s">
        <v>251</v>
      </c>
      <c r="AH15" s="38" t="s">
        <v>252</v>
      </c>
      <c r="AI15" s="14"/>
      <c r="AJ15" s="37" t="s">
        <v>26</v>
      </c>
      <c r="AK15" s="38" t="s">
        <v>277</v>
      </c>
      <c r="AL15" s="38" t="s">
        <v>273</v>
      </c>
      <c r="AM15" s="38" t="s">
        <v>208</v>
      </c>
      <c r="AO15" s="37" t="s">
        <v>11</v>
      </c>
      <c r="AP15" s="38" t="s">
        <v>302</v>
      </c>
      <c r="AQ15" s="38" t="s">
        <v>303</v>
      </c>
      <c r="AR15" s="38" t="s">
        <v>304</v>
      </c>
      <c r="AS15" s="14"/>
      <c r="AT15" s="37" t="s">
        <v>26</v>
      </c>
      <c r="AU15" s="38" t="s">
        <v>319</v>
      </c>
      <c r="AV15" s="38" t="s">
        <v>330</v>
      </c>
      <c r="AW15" s="38" t="s">
        <v>129</v>
      </c>
      <c r="AY15" s="37" t="s">
        <v>11</v>
      </c>
      <c r="AZ15" s="38" t="s">
        <v>355</v>
      </c>
      <c r="BA15" s="38" t="s">
        <v>355</v>
      </c>
      <c r="BB15" s="38" t="s">
        <v>356</v>
      </c>
      <c r="BC15" s="14"/>
      <c r="BD15" s="37" t="s">
        <v>26</v>
      </c>
      <c r="BE15" s="38" t="s">
        <v>380</v>
      </c>
      <c r="BF15" s="38" t="s">
        <v>100</v>
      </c>
      <c r="BG15" s="38" t="s">
        <v>381</v>
      </c>
      <c r="BI15" s="37" t="s">
        <v>11</v>
      </c>
      <c r="BJ15" s="38" t="s">
        <v>396</v>
      </c>
      <c r="BK15" s="38" t="s">
        <v>397</v>
      </c>
      <c r="BL15" s="38" t="s">
        <v>95</v>
      </c>
      <c r="BM15" s="14"/>
      <c r="BN15" s="37" t="s">
        <v>26</v>
      </c>
      <c r="BO15" s="38" t="s">
        <v>331</v>
      </c>
      <c r="BP15" s="38" t="s">
        <v>325</v>
      </c>
      <c r="BQ15" s="38" t="s">
        <v>95</v>
      </c>
      <c r="BS15" s="37" t="s">
        <v>11</v>
      </c>
      <c r="BT15" s="38" t="s">
        <v>432</v>
      </c>
      <c r="BU15" s="38" t="s">
        <v>433</v>
      </c>
      <c r="BV15" s="38" t="s">
        <v>434</v>
      </c>
      <c r="BW15" s="14"/>
      <c r="BX15" s="37" t="s">
        <v>26</v>
      </c>
      <c r="BY15" s="38" t="s">
        <v>458</v>
      </c>
      <c r="BZ15" s="38" t="s">
        <v>199</v>
      </c>
      <c r="CA15" s="38" t="s">
        <v>199</v>
      </c>
      <c r="CC15" s="37" t="s">
        <v>11</v>
      </c>
      <c r="CD15" s="38" t="s">
        <v>480</v>
      </c>
      <c r="CE15" s="38" t="s">
        <v>481</v>
      </c>
      <c r="CF15" s="38" t="s">
        <v>482</v>
      </c>
      <c r="CG15" s="14"/>
      <c r="CH15" s="37" t="s">
        <v>26</v>
      </c>
      <c r="CI15" s="38" t="s">
        <v>122</v>
      </c>
      <c r="CJ15" s="38" t="s">
        <v>279</v>
      </c>
      <c r="CK15" s="38" t="s">
        <v>199</v>
      </c>
      <c r="CM15" s="37" t="s">
        <v>11</v>
      </c>
      <c r="CN15" s="38" t="s">
        <v>523</v>
      </c>
      <c r="CO15" s="38" t="s">
        <v>524</v>
      </c>
      <c r="CP15" s="38" t="s">
        <v>525</v>
      </c>
      <c r="CQ15" s="14"/>
      <c r="CR15" s="37" t="s">
        <v>26</v>
      </c>
      <c r="CS15" s="38" t="s">
        <v>100</v>
      </c>
      <c r="CT15" s="38" t="s">
        <v>118</v>
      </c>
      <c r="CU15" s="38" t="s">
        <v>201</v>
      </c>
    </row>
    <row r="16" spans="1:99" ht="20.399999999999999" customHeight="1" x14ac:dyDescent="0.35">
      <c r="A16" s="1" t="s">
        <v>12</v>
      </c>
      <c r="B16" s="2">
        <v>0.112</v>
      </c>
      <c r="C16" s="2">
        <v>9.5500000000000002E-2</v>
      </c>
      <c r="D16" s="2">
        <v>0.1208</v>
      </c>
      <c r="E16" s="14"/>
      <c r="F16" s="1" t="s">
        <v>27</v>
      </c>
      <c r="G16" s="5">
        <v>0.87</v>
      </c>
      <c r="H16" s="5">
        <v>0.8</v>
      </c>
      <c r="I16" s="5">
        <v>0.91</v>
      </c>
      <c r="K16" s="37" t="s">
        <v>12</v>
      </c>
      <c r="L16" s="38" t="s">
        <v>96</v>
      </c>
      <c r="M16" s="38" t="s">
        <v>97</v>
      </c>
      <c r="N16" s="38" t="s">
        <v>69</v>
      </c>
      <c r="O16" s="14"/>
      <c r="P16" s="37" t="s">
        <v>27</v>
      </c>
      <c r="Q16" s="38" t="s">
        <v>129</v>
      </c>
      <c r="R16" s="38" t="s">
        <v>130</v>
      </c>
      <c r="S16" s="38" t="s">
        <v>131</v>
      </c>
      <c r="U16" s="37" t="s">
        <v>12</v>
      </c>
      <c r="V16" s="38" t="s">
        <v>175</v>
      </c>
      <c r="W16" s="38" t="s">
        <v>176</v>
      </c>
      <c r="X16" s="38" t="s">
        <v>97</v>
      </c>
      <c r="Y16" s="14"/>
      <c r="Z16" s="37" t="s">
        <v>27</v>
      </c>
      <c r="AA16" s="38" t="s">
        <v>209</v>
      </c>
      <c r="AB16" s="38" t="s">
        <v>210</v>
      </c>
      <c r="AC16" s="38" t="s">
        <v>211</v>
      </c>
      <c r="AE16" s="37" t="s">
        <v>12</v>
      </c>
      <c r="AF16" s="38" t="s">
        <v>253</v>
      </c>
      <c r="AG16" s="38" t="s">
        <v>254</v>
      </c>
      <c r="AH16" s="38" t="s">
        <v>255</v>
      </c>
      <c r="AI16" s="14"/>
      <c r="AJ16" s="37" t="s">
        <v>27</v>
      </c>
      <c r="AK16" s="38" t="s">
        <v>278</v>
      </c>
      <c r="AL16" s="38" t="s">
        <v>201</v>
      </c>
      <c r="AM16" s="38" t="s">
        <v>279</v>
      </c>
      <c r="AO16" s="37" t="s">
        <v>12</v>
      </c>
      <c r="AP16" s="38" t="s">
        <v>305</v>
      </c>
      <c r="AQ16" s="38" t="s">
        <v>306</v>
      </c>
      <c r="AR16" s="38" t="s">
        <v>307</v>
      </c>
      <c r="AS16" s="14"/>
      <c r="AT16" s="37" t="s">
        <v>27</v>
      </c>
      <c r="AU16" s="38" t="s">
        <v>118</v>
      </c>
      <c r="AV16" s="38" t="s">
        <v>331</v>
      </c>
      <c r="AW16" s="38" t="s">
        <v>332</v>
      </c>
      <c r="AY16" s="37" t="s">
        <v>12</v>
      </c>
      <c r="AZ16" s="38" t="s">
        <v>357</v>
      </c>
      <c r="BA16" s="38" t="s">
        <v>358</v>
      </c>
      <c r="BB16" s="38" t="s">
        <v>359</v>
      </c>
      <c r="BC16" s="14"/>
      <c r="BD16" s="37" t="s">
        <v>27</v>
      </c>
      <c r="BE16" s="38" t="s">
        <v>372</v>
      </c>
      <c r="BF16" s="38" t="s">
        <v>272</v>
      </c>
      <c r="BG16" s="38" t="s">
        <v>272</v>
      </c>
      <c r="BI16" s="37" t="s">
        <v>12</v>
      </c>
      <c r="BJ16" s="38" t="s">
        <v>398</v>
      </c>
      <c r="BK16" s="38" t="s">
        <v>399</v>
      </c>
      <c r="BL16" s="38" t="s">
        <v>95</v>
      </c>
      <c r="BM16" s="14"/>
      <c r="BN16" s="37" t="s">
        <v>27</v>
      </c>
      <c r="BO16" s="38" t="s">
        <v>411</v>
      </c>
      <c r="BP16" s="38" t="s">
        <v>412</v>
      </c>
      <c r="BQ16" s="38" t="s">
        <v>95</v>
      </c>
      <c r="BS16" s="37" t="s">
        <v>12</v>
      </c>
      <c r="BT16" s="38" t="s">
        <v>435</v>
      </c>
      <c r="BU16" s="38" t="s">
        <v>436</v>
      </c>
      <c r="BV16" s="38" t="s">
        <v>437</v>
      </c>
      <c r="BW16" s="14"/>
      <c r="BX16" s="37" t="s">
        <v>27</v>
      </c>
      <c r="BY16" s="38" t="s">
        <v>208</v>
      </c>
      <c r="BZ16" s="38" t="s">
        <v>208</v>
      </c>
      <c r="CA16" s="38" t="s">
        <v>326</v>
      </c>
      <c r="CC16" s="37" t="s">
        <v>12</v>
      </c>
      <c r="CD16" s="38" t="s">
        <v>483</v>
      </c>
      <c r="CE16" s="38" t="s">
        <v>484</v>
      </c>
      <c r="CF16" s="38" t="s">
        <v>485</v>
      </c>
      <c r="CG16" s="14"/>
      <c r="CH16" s="37" t="s">
        <v>27</v>
      </c>
      <c r="CI16" s="38" t="s">
        <v>130</v>
      </c>
      <c r="CJ16" s="38" t="s">
        <v>204</v>
      </c>
      <c r="CK16" s="38" t="s">
        <v>325</v>
      </c>
      <c r="CM16" s="37" t="s">
        <v>12</v>
      </c>
      <c r="CN16" s="38" t="s">
        <v>526</v>
      </c>
      <c r="CO16" s="38" t="s">
        <v>527</v>
      </c>
      <c r="CP16" s="38" t="s">
        <v>528</v>
      </c>
      <c r="CQ16" s="14"/>
      <c r="CR16" s="37" t="s">
        <v>27</v>
      </c>
      <c r="CS16" s="38" t="s">
        <v>202</v>
      </c>
      <c r="CT16" s="38" t="s">
        <v>380</v>
      </c>
      <c r="CU16" s="38" t="s">
        <v>198</v>
      </c>
    </row>
    <row r="17" spans="1:99" x14ac:dyDescent="0.35">
      <c r="A17" s="1" t="s">
        <v>13</v>
      </c>
      <c r="B17" s="5">
        <v>-0.13</v>
      </c>
      <c r="C17" s="5">
        <v>1.26</v>
      </c>
      <c r="D17" s="5">
        <v>0.93</v>
      </c>
      <c r="E17" s="14"/>
      <c r="F17" s="84" t="s">
        <v>28</v>
      </c>
      <c r="G17" s="85"/>
      <c r="H17" s="85"/>
      <c r="I17" s="86"/>
      <c r="K17" s="37" t="s">
        <v>13</v>
      </c>
      <c r="L17" s="38" t="s">
        <v>98</v>
      </c>
      <c r="M17" s="38" t="s">
        <v>99</v>
      </c>
      <c r="N17" s="38" t="s">
        <v>100</v>
      </c>
      <c r="O17" s="14"/>
      <c r="P17" s="71" t="s">
        <v>28</v>
      </c>
      <c r="Q17" s="72"/>
      <c r="R17" s="72"/>
      <c r="S17" s="73"/>
      <c r="U17" s="37" t="s">
        <v>13</v>
      </c>
      <c r="V17" s="38" t="s">
        <v>177</v>
      </c>
      <c r="W17" s="38" t="s">
        <v>178</v>
      </c>
      <c r="X17" s="38" t="s">
        <v>179</v>
      </c>
      <c r="Y17" s="14"/>
      <c r="Z17" s="59" t="s">
        <v>28</v>
      </c>
      <c r="AA17" s="59"/>
      <c r="AB17" s="59"/>
      <c r="AC17" s="59"/>
      <c r="AE17" s="37" t="s">
        <v>13</v>
      </c>
      <c r="AF17" s="38" t="s">
        <v>256</v>
      </c>
      <c r="AG17" s="38" t="s">
        <v>216</v>
      </c>
      <c r="AH17" s="38" t="s">
        <v>113</v>
      </c>
      <c r="AI17" s="14"/>
      <c r="AJ17" s="59" t="s">
        <v>28</v>
      </c>
      <c r="AK17" s="59"/>
      <c r="AL17" s="59"/>
      <c r="AM17" s="59"/>
      <c r="AO17" s="37" t="s">
        <v>13</v>
      </c>
      <c r="AP17" s="38" t="s">
        <v>308</v>
      </c>
      <c r="AQ17" s="38" t="s">
        <v>120</v>
      </c>
      <c r="AR17" s="38" t="s">
        <v>309</v>
      </c>
      <c r="AS17" s="14"/>
      <c r="AT17" s="59" t="s">
        <v>28</v>
      </c>
      <c r="AU17" s="59"/>
      <c r="AV17" s="59"/>
      <c r="AW17" s="59"/>
      <c r="AY17" s="37" t="s">
        <v>13</v>
      </c>
      <c r="AZ17" s="38" t="s">
        <v>360</v>
      </c>
      <c r="BA17" s="38" t="s">
        <v>361</v>
      </c>
      <c r="BB17" s="38" t="s">
        <v>362</v>
      </c>
      <c r="BC17" s="14"/>
      <c r="BD17" s="59" t="s">
        <v>28</v>
      </c>
      <c r="BE17" s="59"/>
      <c r="BF17" s="59"/>
      <c r="BG17" s="59"/>
      <c r="BI17" s="37" t="s">
        <v>13</v>
      </c>
      <c r="BJ17" s="38" t="s">
        <v>371</v>
      </c>
      <c r="BK17" s="38" t="s">
        <v>119</v>
      </c>
      <c r="BL17" s="38" t="s">
        <v>95</v>
      </c>
      <c r="BM17" s="14"/>
      <c r="BN17" s="59" t="s">
        <v>28</v>
      </c>
      <c r="BO17" s="59"/>
      <c r="BP17" s="59"/>
      <c r="BQ17" s="59"/>
      <c r="BS17" s="37" t="s">
        <v>13</v>
      </c>
      <c r="BT17" s="38" t="s">
        <v>438</v>
      </c>
      <c r="BU17" s="38" t="s">
        <v>439</v>
      </c>
      <c r="BV17" s="38" t="s">
        <v>440</v>
      </c>
      <c r="BW17" s="14"/>
      <c r="BX17" s="59" t="s">
        <v>28</v>
      </c>
      <c r="BY17" s="59"/>
      <c r="BZ17" s="59"/>
      <c r="CA17" s="59"/>
      <c r="CC17" s="37" t="s">
        <v>13</v>
      </c>
      <c r="CD17" s="38" t="s">
        <v>113</v>
      </c>
      <c r="CE17" s="38" t="s">
        <v>486</v>
      </c>
      <c r="CF17" s="38" t="s">
        <v>187</v>
      </c>
      <c r="CG17" s="14"/>
      <c r="CH17" s="59" t="s">
        <v>28</v>
      </c>
      <c r="CI17" s="59"/>
      <c r="CJ17" s="59"/>
      <c r="CK17" s="59"/>
      <c r="CM17" s="37" t="s">
        <v>13</v>
      </c>
      <c r="CN17" s="38" t="s">
        <v>215</v>
      </c>
      <c r="CO17" s="38" t="s">
        <v>529</v>
      </c>
      <c r="CP17" s="38" t="s">
        <v>362</v>
      </c>
      <c r="CQ17" s="14"/>
      <c r="CR17" s="59" t="s">
        <v>28</v>
      </c>
      <c r="CS17" s="59"/>
      <c r="CT17" s="59"/>
      <c r="CU17" s="59"/>
    </row>
    <row r="18" spans="1:99" ht="20.399999999999999" customHeight="1" x14ac:dyDescent="0.35">
      <c r="A18" s="1" t="s">
        <v>14</v>
      </c>
      <c r="B18" s="2">
        <v>-4.53E-2</v>
      </c>
      <c r="C18" s="2">
        <v>-3.27E-2</v>
      </c>
      <c r="D18" s="2">
        <v>-3.27E-2</v>
      </c>
      <c r="E18" s="14"/>
      <c r="F18" s="1" t="s">
        <v>29</v>
      </c>
      <c r="G18" s="5">
        <v>0.32</v>
      </c>
      <c r="H18" s="5">
        <v>0.17</v>
      </c>
      <c r="I18" s="5">
        <v>-0.52</v>
      </c>
      <c r="K18" s="37" t="s">
        <v>14</v>
      </c>
      <c r="L18" s="38" t="s">
        <v>101</v>
      </c>
      <c r="M18" s="38" t="s">
        <v>102</v>
      </c>
      <c r="N18" s="38" t="s">
        <v>102</v>
      </c>
      <c r="O18" s="14"/>
      <c r="P18" s="37" t="s">
        <v>29</v>
      </c>
      <c r="Q18" s="38" t="s">
        <v>132</v>
      </c>
      <c r="R18" s="38" t="s">
        <v>133</v>
      </c>
      <c r="S18" s="38" t="s">
        <v>134</v>
      </c>
      <c r="U18" s="37" t="s">
        <v>14</v>
      </c>
      <c r="V18" s="38" t="s">
        <v>180</v>
      </c>
      <c r="W18" s="38" t="s">
        <v>180</v>
      </c>
      <c r="X18" s="38" t="s">
        <v>181</v>
      </c>
      <c r="Y18" s="14"/>
      <c r="Z18" s="37" t="s">
        <v>29</v>
      </c>
      <c r="AA18" s="38" t="s">
        <v>212</v>
      </c>
      <c r="AB18" s="38" t="s">
        <v>213</v>
      </c>
      <c r="AC18" s="38" t="s">
        <v>214</v>
      </c>
      <c r="AE18" s="37" t="s">
        <v>14</v>
      </c>
      <c r="AF18" s="38" t="s">
        <v>257</v>
      </c>
      <c r="AG18" s="38" t="s">
        <v>258</v>
      </c>
      <c r="AH18" s="38" t="s">
        <v>259</v>
      </c>
      <c r="AI18" s="14"/>
      <c r="AJ18" s="37" t="s">
        <v>29</v>
      </c>
      <c r="AK18" s="38" t="s">
        <v>280</v>
      </c>
      <c r="AL18" s="38" t="s">
        <v>106</v>
      </c>
      <c r="AM18" s="38" t="s">
        <v>281</v>
      </c>
      <c r="AO18" s="37" t="s">
        <v>14</v>
      </c>
      <c r="AP18" s="38" t="s">
        <v>310</v>
      </c>
      <c r="AQ18" s="38" t="s">
        <v>258</v>
      </c>
      <c r="AR18" s="38" t="s">
        <v>310</v>
      </c>
      <c r="AS18" s="14"/>
      <c r="AT18" s="37" t="s">
        <v>29</v>
      </c>
      <c r="AU18" s="38" t="s">
        <v>333</v>
      </c>
      <c r="AV18" s="38" t="s">
        <v>256</v>
      </c>
      <c r="AW18" s="38" t="s">
        <v>334</v>
      </c>
      <c r="AY18" s="37" t="s">
        <v>14</v>
      </c>
      <c r="AZ18" s="38" t="s">
        <v>363</v>
      </c>
      <c r="BA18" s="38" t="s">
        <v>258</v>
      </c>
      <c r="BB18" s="38" t="s">
        <v>364</v>
      </c>
      <c r="BC18" s="14"/>
      <c r="BD18" s="37" t="s">
        <v>29</v>
      </c>
      <c r="BE18" s="38" t="s">
        <v>382</v>
      </c>
      <c r="BF18" s="38" t="s">
        <v>212</v>
      </c>
      <c r="BG18" s="38" t="s">
        <v>383</v>
      </c>
      <c r="BI18" s="37" t="s">
        <v>14</v>
      </c>
      <c r="BJ18" s="38" t="s">
        <v>400</v>
      </c>
      <c r="BK18" s="38" t="s">
        <v>401</v>
      </c>
      <c r="BL18" s="38" t="s">
        <v>95</v>
      </c>
      <c r="BM18" s="14"/>
      <c r="BN18" s="37" t="s">
        <v>29</v>
      </c>
      <c r="BO18" s="38" t="s">
        <v>213</v>
      </c>
      <c r="BP18" s="38" t="s">
        <v>413</v>
      </c>
      <c r="BQ18" s="38" t="s">
        <v>95</v>
      </c>
      <c r="BS18" s="37" t="s">
        <v>14</v>
      </c>
      <c r="BT18" s="38" t="s">
        <v>441</v>
      </c>
      <c r="BU18" s="38" t="s">
        <v>442</v>
      </c>
      <c r="BV18" s="38" t="s">
        <v>443</v>
      </c>
      <c r="BW18" s="14"/>
      <c r="BX18" s="37" t="s">
        <v>29</v>
      </c>
      <c r="BY18" s="38" t="s">
        <v>282</v>
      </c>
      <c r="BZ18" s="38" t="s">
        <v>459</v>
      </c>
      <c r="CA18" s="38" t="s">
        <v>460</v>
      </c>
      <c r="CC18" s="37" t="s">
        <v>14</v>
      </c>
      <c r="CD18" s="38" t="s">
        <v>310</v>
      </c>
      <c r="CE18" s="38" t="s">
        <v>487</v>
      </c>
      <c r="CF18" s="38" t="s">
        <v>487</v>
      </c>
      <c r="CG18" s="14"/>
      <c r="CH18" s="37" t="s">
        <v>29</v>
      </c>
      <c r="CI18" s="38" t="s">
        <v>501</v>
      </c>
      <c r="CJ18" s="38" t="s">
        <v>496</v>
      </c>
      <c r="CK18" s="38" t="s">
        <v>502</v>
      </c>
      <c r="CM18" s="37" t="s">
        <v>14</v>
      </c>
      <c r="CN18" s="38" t="s">
        <v>530</v>
      </c>
      <c r="CO18" s="38" t="s">
        <v>531</v>
      </c>
      <c r="CP18" s="38" t="s">
        <v>532</v>
      </c>
      <c r="CQ18" s="14"/>
      <c r="CR18" s="37" t="s">
        <v>29</v>
      </c>
      <c r="CS18" s="38" t="s">
        <v>382</v>
      </c>
      <c r="CT18" s="38" t="s">
        <v>545</v>
      </c>
      <c r="CU18" s="38" t="s">
        <v>546</v>
      </c>
    </row>
    <row r="19" spans="1:99" x14ac:dyDescent="0.35">
      <c r="A19" s="6">
        <v>3</v>
      </c>
      <c r="B19" s="19">
        <v>-0.05</v>
      </c>
      <c r="C19" s="19">
        <v>-4.9299999999999997E-2</v>
      </c>
      <c r="D19" s="19">
        <v>-9.1800000000000007E-2</v>
      </c>
      <c r="E19" s="14"/>
      <c r="F19" s="6" t="s">
        <v>30</v>
      </c>
      <c r="G19" s="7">
        <v>1.91</v>
      </c>
      <c r="H19" s="7">
        <v>2.35</v>
      </c>
      <c r="I19" s="7">
        <v>6.4</v>
      </c>
      <c r="K19" s="37" t="s">
        <v>15</v>
      </c>
      <c r="L19" s="38" t="s">
        <v>103</v>
      </c>
      <c r="M19" s="38" t="s">
        <v>104</v>
      </c>
      <c r="N19" s="38" t="s">
        <v>105</v>
      </c>
      <c r="O19" s="14"/>
      <c r="P19" s="37" t="s">
        <v>30</v>
      </c>
      <c r="Q19" s="38" t="s">
        <v>135</v>
      </c>
      <c r="R19" s="38" t="s">
        <v>136</v>
      </c>
      <c r="S19" s="38" t="s">
        <v>137</v>
      </c>
      <c r="U19" s="37" t="s">
        <v>15</v>
      </c>
      <c r="V19" s="38" t="s">
        <v>182</v>
      </c>
      <c r="W19" s="38" t="s">
        <v>183</v>
      </c>
      <c r="X19" s="38" t="s">
        <v>184</v>
      </c>
      <c r="Y19" s="14"/>
      <c r="Z19" s="37" t="s">
        <v>30</v>
      </c>
      <c r="AA19" s="38" t="s">
        <v>215</v>
      </c>
      <c r="AB19" s="38" t="s">
        <v>216</v>
      </c>
      <c r="AC19" s="38" t="s">
        <v>217</v>
      </c>
      <c r="AE19" s="37" t="s">
        <v>15</v>
      </c>
      <c r="AF19" s="38" t="s">
        <v>260</v>
      </c>
      <c r="AG19" s="38" t="s">
        <v>261</v>
      </c>
      <c r="AH19" s="38" t="s">
        <v>262</v>
      </c>
      <c r="AI19" s="14"/>
      <c r="AJ19" s="37" t="s">
        <v>30</v>
      </c>
      <c r="AK19" s="38" t="s">
        <v>282</v>
      </c>
      <c r="AL19" s="38" t="s">
        <v>283</v>
      </c>
      <c r="AM19" s="38" t="s">
        <v>284</v>
      </c>
      <c r="AO19" s="37" t="s">
        <v>15</v>
      </c>
      <c r="AP19" s="38" t="s">
        <v>311</v>
      </c>
      <c r="AQ19" s="38" t="s">
        <v>312</v>
      </c>
      <c r="AR19" s="38" t="s">
        <v>313</v>
      </c>
      <c r="AS19" s="14"/>
      <c r="AT19" s="37" t="s">
        <v>30</v>
      </c>
      <c r="AU19" s="38" t="s">
        <v>335</v>
      </c>
      <c r="AV19" s="38" t="s">
        <v>336</v>
      </c>
      <c r="AW19" s="38" t="s">
        <v>337</v>
      </c>
      <c r="AY19" s="37" t="s">
        <v>15</v>
      </c>
      <c r="AZ19" s="38" t="s">
        <v>365</v>
      </c>
      <c r="BA19" s="38" t="s">
        <v>366</v>
      </c>
      <c r="BB19" s="38" t="s">
        <v>365</v>
      </c>
      <c r="BC19" s="14"/>
      <c r="BD19" s="37" t="s">
        <v>30</v>
      </c>
      <c r="BE19" s="38" t="s">
        <v>187</v>
      </c>
      <c r="BF19" s="38" t="s">
        <v>219</v>
      </c>
      <c r="BG19" s="38" t="s">
        <v>384</v>
      </c>
      <c r="BI19" s="37" t="s">
        <v>15</v>
      </c>
      <c r="BJ19" s="38" t="s">
        <v>402</v>
      </c>
      <c r="BK19" s="38" t="s">
        <v>402</v>
      </c>
      <c r="BL19" s="38" t="s">
        <v>95</v>
      </c>
      <c r="BM19" s="14"/>
      <c r="BN19" s="37" t="s">
        <v>30</v>
      </c>
      <c r="BO19" s="38" t="s">
        <v>414</v>
      </c>
      <c r="BP19" s="38" t="s">
        <v>314</v>
      </c>
      <c r="BQ19" s="38" t="s">
        <v>95</v>
      </c>
      <c r="BS19" s="37" t="s">
        <v>15</v>
      </c>
      <c r="BT19" s="38" t="s">
        <v>444</v>
      </c>
      <c r="BU19" s="38" t="s">
        <v>445</v>
      </c>
      <c r="BV19" s="38" t="s">
        <v>444</v>
      </c>
      <c r="BW19" s="14"/>
      <c r="BX19" s="37" t="s">
        <v>30</v>
      </c>
      <c r="BY19" s="38" t="s">
        <v>461</v>
      </c>
      <c r="BZ19" s="38" t="s">
        <v>462</v>
      </c>
      <c r="CA19" s="38" t="s">
        <v>463</v>
      </c>
      <c r="CC19" s="37" t="s">
        <v>15</v>
      </c>
      <c r="CD19" s="38" t="s">
        <v>488</v>
      </c>
      <c r="CE19" s="38" t="s">
        <v>489</v>
      </c>
      <c r="CF19" s="38" t="s">
        <v>490</v>
      </c>
      <c r="CG19" s="14"/>
      <c r="CH19" s="37" t="s">
        <v>30</v>
      </c>
      <c r="CI19" s="38" t="s">
        <v>503</v>
      </c>
      <c r="CJ19" s="38" t="s">
        <v>504</v>
      </c>
      <c r="CK19" s="38" t="s">
        <v>505</v>
      </c>
      <c r="CM19" s="37" t="s">
        <v>15</v>
      </c>
      <c r="CN19" s="38" t="s">
        <v>533</v>
      </c>
      <c r="CO19" s="38" t="s">
        <v>534</v>
      </c>
      <c r="CP19" s="38" t="s">
        <v>535</v>
      </c>
      <c r="CQ19" s="14"/>
      <c r="CR19" s="37" t="s">
        <v>30</v>
      </c>
      <c r="CS19" s="38" t="s">
        <v>128</v>
      </c>
      <c r="CT19" s="38" t="s">
        <v>547</v>
      </c>
      <c r="CU19" s="38" t="s">
        <v>548</v>
      </c>
    </row>
    <row r="20" spans="1:99" x14ac:dyDescent="0.35">
      <c r="A20" s="60" t="s">
        <v>66</v>
      </c>
      <c r="B20" s="61"/>
      <c r="C20" s="61"/>
      <c r="D20" s="61"/>
      <c r="E20" s="61"/>
      <c r="F20" s="61"/>
      <c r="G20" s="61"/>
      <c r="H20" s="61"/>
      <c r="I20" s="62"/>
      <c r="K20" s="60" t="s">
        <v>66</v>
      </c>
      <c r="L20" s="61"/>
      <c r="M20" s="61"/>
      <c r="N20" s="61"/>
      <c r="O20" s="61"/>
      <c r="P20" s="61"/>
      <c r="Q20" s="61"/>
      <c r="R20" s="61"/>
      <c r="S20" s="62"/>
      <c r="U20" s="60" t="s">
        <v>66</v>
      </c>
      <c r="V20" s="61"/>
      <c r="W20" s="61"/>
      <c r="X20" s="61"/>
      <c r="Y20" s="61"/>
      <c r="Z20" s="61"/>
      <c r="AA20" s="61"/>
      <c r="AB20" s="61"/>
      <c r="AC20" s="62"/>
      <c r="AE20" s="60" t="s">
        <v>66</v>
      </c>
      <c r="AF20" s="61"/>
      <c r="AG20" s="61"/>
      <c r="AH20" s="61"/>
      <c r="AI20" s="61"/>
      <c r="AJ20" s="61"/>
      <c r="AK20" s="61"/>
      <c r="AL20" s="61"/>
      <c r="AM20" s="62"/>
      <c r="AO20" s="60" t="s">
        <v>66</v>
      </c>
      <c r="AP20" s="61"/>
      <c r="AQ20" s="61"/>
      <c r="AR20" s="61"/>
      <c r="AS20" s="61"/>
      <c r="AT20" s="61"/>
      <c r="AU20" s="61"/>
      <c r="AV20" s="61"/>
      <c r="AW20" s="62"/>
      <c r="AY20" s="60" t="s">
        <v>66</v>
      </c>
      <c r="AZ20" s="61"/>
      <c r="BA20" s="61"/>
      <c r="BB20" s="61"/>
      <c r="BC20" s="61"/>
      <c r="BD20" s="61"/>
      <c r="BE20" s="61"/>
      <c r="BF20" s="61"/>
      <c r="BG20" s="62"/>
      <c r="BI20" s="60" t="s">
        <v>66</v>
      </c>
      <c r="BJ20" s="61"/>
      <c r="BK20" s="61"/>
      <c r="BL20" s="61"/>
      <c r="BM20" s="61"/>
      <c r="BN20" s="61"/>
      <c r="BO20" s="61"/>
      <c r="BP20" s="61"/>
      <c r="BQ20" s="62"/>
      <c r="BS20" s="60" t="s">
        <v>66</v>
      </c>
      <c r="BT20" s="61"/>
      <c r="BU20" s="61"/>
      <c r="BV20" s="61"/>
      <c r="BW20" s="61"/>
      <c r="BX20" s="61"/>
      <c r="BY20" s="61"/>
      <c r="BZ20" s="61"/>
      <c r="CA20" s="62"/>
      <c r="CC20" s="60" t="s">
        <v>66</v>
      </c>
      <c r="CD20" s="61"/>
      <c r="CE20" s="61"/>
      <c r="CF20" s="61"/>
      <c r="CG20" s="61"/>
      <c r="CH20" s="61"/>
      <c r="CI20" s="61"/>
      <c r="CJ20" s="61"/>
      <c r="CK20" s="62"/>
      <c r="CM20" s="60" t="s">
        <v>66</v>
      </c>
      <c r="CN20" s="61"/>
      <c r="CO20" s="61"/>
      <c r="CP20" s="61"/>
      <c r="CQ20" s="61"/>
      <c r="CR20" s="61"/>
      <c r="CS20" s="61"/>
      <c r="CT20" s="61"/>
      <c r="CU20" s="62"/>
    </row>
    <row r="21" spans="1:99" x14ac:dyDescent="0.35">
      <c r="A21" s="63"/>
      <c r="B21" s="64"/>
      <c r="C21" s="64"/>
      <c r="D21" s="64"/>
      <c r="E21" s="64"/>
      <c r="F21" s="64"/>
      <c r="G21" s="64"/>
      <c r="H21" s="64"/>
      <c r="I21" s="65"/>
      <c r="K21" s="63"/>
      <c r="L21" s="64"/>
      <c r="M21" s="64"/>
      <c r="N21" s="64"/>
      <c r="O21" s="64"/>
      <c r="P21" s="64"/>
      <c r="Q21" s="64"/>
      <c r="R21" s="64"/>
      <c r="S21" s="65"/>
      <c r="U21" s="63"/>
      <c r="V21" s="64"/>
      <c r="W21" s="64"/>
      <c r="X21" s="64"/>
      <c r="Y21" s="64"/>
      <c r="Z21" s="64"/>
      <c r="AA21" s="64"/>
      <c r="AB21" s="64"/>
      <c r="AC21" s="65"/>
      <c r="AE21" s="63"/>
      <c r="AF21" s="64"/>
      <c r="AG21" s="64"/>
      <c r="AH21" s="64"/>
      <c r="AI21" s="64"/>
      <c r="AJ21" s="64"/>
      <c r="AK21" s="64"/>
      <c r="AL21" s="64"/>
      <c r="AM21" s="65"/>
      <c r="AO21" s="63"/>
      <c r="AP21" s="64"/>
      <c r="AQ21" s="64"/>
      <c r="AR21" s="64"/>
      <c r="AS21" s="64"/>
      <c r="AT21" s="64"/>
      <c r="AU21" s="64"/>
      <c r="AV21" s="64"/>
      <c r="AW21" s="65"/>
      <c r="AY21" s="63"/>
      <c r="AZ21" s="64"/>
      <c r="BA21" s="64"/>
      <c r="BB21" s="64"/>
      <c r="BC21" s="64"/>
      <c r="BD21" s="64"/>
      <c r="BE21" s="64"/>
      <c r="BF21" s="64"/>
      <c r="BG21" s="65"/>
      <c r="BI21" s="63"/>
      <c r="BJ21" s="64"/>
      <c r="BK21" s="64"/>
      <c r="BL21" s="64"/>
      <c r="BM21" s="64"/>
      <c r="BN21" s="64"/>
      <c r="BO21" s="64"/>
      <c r="BP21" s="64"/>
      <c r="BQ21" s="65"/>
      <c r="BS21" s="63"/>
      <c r="BT21" s="64"/>
      <c r="BU21" s="64"/>
      <c r="BV21" s="64"/>
      <c r="BW21" s="64"/>
      <c r="BX21" s="64"/>
      <c r="BY21" s="64"/>
      <c r="BZ21" s="64"/>
      <c r="CA21" s="65"/>
      <c r="CC21" s="63"/>
      <c r="CD21" s="64"/>
      <c r="CE21" s="64"/>
      <c r="CF21" s="64"/>
      <c r="CG21" s="64"/>
      <c r="CH21" s="64"/>
      <c r="CI21" s="64"/>
      <c r="CJ21" s="64"/>
      <c r="CK21" s="65"/>
      <c r="CM21" s="63"/>
      <c r="CN21" s="64"/>
      <c r="CO21" s="64"/>
      <c r="CP21" s="64"/>
      <c r="CQ21" s="64"/>
      <c r="CR21" s="64"/>
      <c r="CS21" s="64"/>
      <c r="CT21" s="64"/>
      <c r="CU21" s="65"/>
    </row>
    <row r="22" spans="1:99" ht="18" customHeight="1" x14ac:dyDescent="0.35">
      <c r="A22" s="54" t="s">
        <v>33</v>
      </c>
      <c r="B22" s="67"/>
      <c r="C22" s="67"/>
      <c r="D22" s="55"/>
      <c r="E22" s="14"/>
      <c r="F22" s="54" t="s">
        <v>40</v>
      </c>
      <c r="G22" s="67"/>
      <c r="H22" s="67"/>
      <c r="I22" s="55"/>
      <c r="K22" s="54" t="s">
        <v>33</v>
      </c>
      <c r="L22" s="67"/>
      <c r="M22" s="67"/>
      <c r="N22" s="55"/>
      <c r="O22" s="14"/>
      <c r="P22" s="54" t="s">
        <v>40</v>
      </c>
      <c r="Q22" s="67"/>
      <c r="R22" s="67"/>
      <c r="S22" s="55"/>
      <c r="U22" s="66" t="s">
        <v>33</v>
      </c>
      <c r="V22" s="66"/>
      <c r="W22" s="66"/>
      <c r="X22" s="66"/>
      <c r="Y22" s="14"/>
      <c r="Z22" s="66" t="s">
        <v>40</v>
      </c>
      <c r="AA22" s="66"/>
      <c r="AB22" s="66"/>
      <c r="AC22" s="66"/>
      <c r="AE22" s="66" t="s">
        <v>33</v>
      </c>
      <c r="AF22" s="66"/>
      <c r="AG22" s="66"/>
      <c r="AH22" s="66"/>
      <c r="AI22" s="14"/>
      <c r="AJ22" s="66" t="s">
        <v>40</v>
      </c>
      <c r="AK22" s="66"/>
      <c r="AL22" s="66"/>
      <c r="AM22" s="66"/>
      <c r="AO22" s="66" t="s">
        <v>33</v>
      </c>
      <c r="AP22" s="66"/>
      <c r="AQ22" s="66"/>
      <c r="AR22" s="66"/>
      <c r="AS22" s="14"/>
      <c r="AT22" s="66" t="s">
        <v>40</v>
      </c>
      <c r="AU22" s="66"/>
      <c r="AV22" s="66"/>
      <c r="AW22" s="66"/>
      <c r="AY22" s="66" t="s">
        <v>33</v>
      </c>
      <c r="AZ22" s="66"/>
      <c r="BA22" s="66"/>
      <c r="BB22" s="66"/>
      <c r="BC22" s="14"/>
      <c r="BD22" s="66" t="s">
        <v>40</v>
      </c>
      <c r="BE22" s="66"/>
      <c r="BF22" s="66"/>
      <c r="BG22" s="66"/>
      <c r="BI22" s="66" t="s">
        <v>33</v>
      </c>
      <c r="BJ22" s="66"/>
      <c r="BK22" s="66"/>
      <c r="BL22" s="66"/>
      <c r="BM22" s="14"/>
      <c r="BN22" s="66" t="s">
        <v>40</v>
      </c>
      <c r="BO22" s="66"/>
      <c r="BP22" s="66"/>
      <c r="BQ22" s="66"/>
      <c r="BS22" s="66" t="s">
        <v>33</v>
      </c>
      <c r="BT22" s="66"/>
      <c r="BU22" s="66"/>
      <c r="BV22" s="66"/>
      <c r="BW22" s="14"/>
      <c r="BX22" s="66" t="s">
        <v>40</v>
      </c>
      <c r="BY22" s="66"/>
      <c r="BZ22" s="66"/>
      <c r="CA22" s="66"/>
      <c r="CC22" s="66" t="s">
        <v>33</v>
      </c>
      <c r="CD22" s="66"/>
      <c r="CE22" s="66"/>
      <c r="CF22" s="66"/>
      <c r="CG22" s="14"/>
      <c r="CH22" s="66" t="s">
        <v>40</v>
      </c>
      <c r="CI22" s="66"/>
      <c r="CJ22" s="66"/>
      <c r="CK22" s="66"/>
      <c r="CM22" s="66" t="s">
        <v>33</v>
      </c>
      <c r="CN22" s="66"/>
      <c r="CO22" s="66"/>
      <c r="CP22" s="66"/>
      <c r="CQ22" s="14"/>
      <c r="CR22" s="66" t="s">
        <v>40</v>
      </c>
      <c r="CS22" s="66"/>
      <c r="CT22" s="66"/>
      <c r="CU22" s="66"/>
    </row>
    <row r="23" spans="1:99" ht="30.65" customHeight="1" x14ac:dyDescent="0.35">
      <c r="A23" s="76" t="s">
        <v>34</v>
      </c>
      <c r="B23" s="77"/>
      <c r="C23" s="76" t="s">
        <v>35</v>
      </c>
      <c r="D23" s="77"/>
      <c r="E23" s="18"/>
      <c r="F23" s="76" t="s">
        <v>34</v>
      </c>
      <c r="G23" s="77"/>
      <c r="H23" s="76" t="s">
        <v>35</v>
      </c>
      <c r="I23" s="77"/>
      <c r="K23" s="68" t="s">
        <v>34</v>
      </c>
      <c r="L23" s="69"/>
      <c r="M23" s="68" t="s">
        <v>35</v>
      </c>
      <c r="N23" s="69"/>
      <c r="O23" s="18"/>
      <c r="P23" s="68" t="s">
        <v>34</v>
      </c>
      <c r="Q23" s="69"/>
      <c r="R23" s="68" t="s">
        <v>35</v>
      </c>
      <c r="S23" s="69"/>
      <c r="U23" s="74" t="s">
        <v>34</v>
      </c>
      <c r="V23" s="74"/>
      <c r="W23" s="74" t="s">
        <v>35</v>
      </c>
      <c r="X23" s="74"/>
      <c r="Y23" s="18"/>
      <c r="Z23" s="74" t="s">
        <v>34</v>
      </c>
      <c r="AA23" s="74"/>
      <c r="AB23" s="74" t="s">
        <v>35</v>
      </c>
      <c r="AC23" s="74"/>
      <c r="AE23" s="74" t="s">
        <v>34</v>
      </c>
      <c r="AF23" s="74"/>
      <c r="AG23" s="74" t="s">
        <v>35</v>
      </c>
      <c r="AH23" s="74"/>
      <c r="AI23" s="18"/>
      <c r="AJ23" s="74" t="s">
        <v>34</v>
      </c>
      <c r="AK23" s="74"/>
      <c r="AL23" s="74" t="s">
        <v>35</v>
      </c>
      <c r="AM23" s="74"/>
      <c r="AO23" s="74" t="s">
        <v>34</v>
      </c>
      <c r="AP23" s="74"/>
      <c r="AQ23" s="74" t="s">
        <v>35</v>
      </c>
      <c r="AR23" s="74"/>
      <c r="AS23" s="18"/>
      <c r="AT23" s="74" t="s">
        <v>34</v>
      </c>
      <c r="AU23" s="74"/>
      <c r="AV23" s="74" t="s">
        <v>35</v>
      </c>
      <c r="AW23" s="74"/>
      <c r="AY23" s="74" t="s">
        <v>34</v>
      </c>
      <c r="AZ23" s="74"/>
      <c r="BA23" s="74" t="s">
        <v>35</v>
      </c>
      <c r="BB23" s="74"/>
      <c r="BC23" s="18"/>
      <c r="BD23" s="74" t="s">
        <v>34</v>
      </c>
      <c r="BE23" s="74"/>
      <c r="BF23" s="74" t="s">
        <v>35</v>
      </c>
      <c r="BG23" s="74"/>
      <c r="BI23" s="74" t="s">
        <v>34</v>
      </c>
      <c r="BJ23" s="74"/>
      <c r="BK23" s="74" t="s">
        <v>35</v>
      </c>
      <c r="BL23" s="74"/>
      <c r="BM23" s="18"/>
      <c r="BN23" s="74" t="s">
        <v>34</v>
      </c>
      <c r="BO23" s="74"/>
      <c r="BP23" s="74" t="s">
        <v>35</v>
      </c>
      <c r="BQ23" s="74"/>
      <c r="BS23" s="74" t="s">
        <v>34</v>
      </c>
      <c r="BT23" s="74"/>
      <c r="BU23" s="74" t="s">
        <v>35</v>
      </c>
      <c r="BV23" s="74"/>
      <c r="BW23" s="18"/>
      <c r="BX23" s="74" t="s">
        <v>34</v>
      </c>
      <c r="BY23" s="74"/>
      <c r="BZ23" s="74" t="s">
        <v>35</v>
      </c>
      <c r="CA23" s="74"/>
      <c r="CC23" s="74" t="s">
        <v>34</v>
      </c>
      <c r="CD23" s="74"/>
      <c r="CE23" s="74" t="s">
        <v>35</v>
      </c>
      <c r="CF23" s="74"/>
      <c r="CG23" s="18"/>
      <c r="CH23" s="74" t="s">
        <v>34</v>
      </c>
      <c r="CI23" s="74"/>
      <c r="CJ23" s="74" t="s">
        <v>35</v>
      </c>
      <c r="CK23" s="74"/>
      <c r="CM23" s="74" t="s">
        <v>34</v>
      </c>
      <c r="CN23" s="74"/>
      <c r="CO23" s="74" t="s">
        <v>35</v>
      </c>
      <c r="CP23" s="74"/>
      <c r="CQ23" s="18"/>
      <c r="CR23" s="74" t="s">
        <v>34</v>
      </c>
      <c r="CS23" s="74"/>
      <c r="CT23" s="74" t="s">
        <v>35</v>
      </c>
      <c r="CU23" s="74"/>
    </row>
    <row r="24" spans="1:99" x14ac:dyDescent="0.35">
      <c r="A24" s="20" t="s">
        <v>8</v>
      </c>
      <c r="B24" s="21">
        <v>0.1464</v>
      </c>
      <c r="C24" s="20">
        <v>4</v>
      </c>
      <c r="D24" s="22" t="s">
        <v>36</v>
      </c>
      <c r="E24" s="18"/>
      <c r="F24" s="20" t="s">
        <v>41</v>
      </c>
      <c r="G24" s="5">
        <v>0.82</v>
      </c>
      <c r="H24" s="20">
        <v>4</v>
      </c>
      <c r="I24" s="22" t="s">
        <v>36</v>
      </c>
      <c r="K24" s="42" t="s">
        <v>8</v>
      </c>
      <c r="L24" s="43" t="s">
        <v>84</v>
      </c>
      <c r="M24" s="42">
        <v>4</v>
      </c>
      <c r="N24" s="44" t="s">
        <v>36</v>
      </c>
      <c r="O24" s="18"/>
      <c r="P24" s="42" t="s">
        <v>41</v>
      </c>
      <c r="Q24" s="45" t="s">
        <v>107</v>
      </c>
      <c r="R24" s="42">
        <v>4</v>
      </c>
      <c r="S24" s="44" t="s">
        <v>36</v>
      </c>
      <c r="U24" s="42" t="s">
        <v>8</v>
      </c>
      <c r="V24" s="43" t="s">
        <v>164</v>
      </c>
      <c r="W24" s="42">
        <v>1</v>
      </c>
      <c r="X24" s="44" t="s">
        <v>218</v>
      </c>
      <c r="Y24" s="18"/>
      <c r="Z24" s="42" t="s">
        <v>41</v>
      </c>
      <c r="AA24" s="45" t="s">
        <v>186</v>
      </c>
      <c r="AB24" s="42">
        <v>2</v>
      </c>
      <c r="AC24" s="44" t="s">
        <v>43</v>
      </c>
      <c r="AE24" s="42" t="s">
        <v>8</v>
      </c>
      <c r="AF24" s="43" t="s">
        <v>242</v>
      </c>
      <c r="AG24" s="42">
        <v>0</v>
      </c>
      <c r="AH24" s="44" t="s">
        <v>285</v>
      </c>
      <c r="AI24" s="18"/>
      <c r="AJ24" s="42" t="s">
        <v>41</v>
      </c>
      <c r="AK24" s="45" t="s">
        <v>126</v>
      </c>
      <c r="AL24" s="42">
        <v>0</v>
      </c>
      <c r="AM24" s="44" t="s">
        <v>285</v>
      </c>
      <c r="AO24" s="42" t="s">
        <v>8</v>
      </c>
      <c r="AP24" s="43" t="s">
        <v>300</v>
      </c>
      <c r="AQ24" s="42">
        <v>0</v>
      </c>
      <c r="AR24" s="44" t="s">
        <v>285</v>
      </c>
      <c r="AS24" s="18"/>
      <c r="AT24" s="42" t="s">
        <v>41</v>
      </c>
      <c r="AU24" s="45" t="s">
        <v>208</v>
      </c>
      <c r="AV24" s="42">
        <v>4</v>
      </c>
      <c r="AW24" s="44" t="s">
        <v>36</v>
      </c>
      <c r="AY24" s="42" t="s">
        <v>8</v>
      </c>
      <c r="AZ24" s="43" t="s">
        <v>353</v>
      </c>
      <c r="BA24" s="42">
        <v>0</v>
      </c>
      <c r="BB24" s="44" t="s">
        <v>285</v>
      </c>
      <c r="BC24" s="18"/>
      <c r="BD24" s="42" t="s">
        <v>41</v>
      </c>
      <c r="BE24" s="45" t="s">
        <v>367</v>
      </c>
      <c r="BF24" s="42">
        <v>4</v>
      </c>
      <c r="BG24" s="44" t="s">
        <v>36</v>
      </c>
      <c r="BI24" s="42" t="s">
        <v>8</v>
      </c>
      <c r="BJ24" s="43" t="s">
        <v>395</v>
      </c>
      <c r="BK24" s="42">
        <v>0</v>
      </c>
      <c r="BL24" s="44" t="s">
        <v>285</v>
      </c>
      <c r="BM24" s="18"/>
      <c r="BN24" s="42" t="s">
        <v>41</v>
      </c>
      <c r="BO24" s="45" t="s">
        <v>100</v>
      </c>
      <c r="BP24" s="42">
        <v>4</v>
      </c>
      <c r="BQ24" s="44" t="s">
        <v>36</v>
      </c>
      <c r="BS24" s="42" t="s">
        <v>8</v>
      </c>
      <c r="BT24" s="43" t="s">
        <v>430</v>
      </c>
      <c r="BU24" s="42">
        <v>0</v>
      </c>
      <c r="BV24" s="44" t="s">
        <v>285</v>
      </c>
      <c r="BW24" s="18"/>
      <c r="BX24" s="42" t="s">
        <v>41</v>
      </c>
      <c r="BY24" s="45" t="s">
        <v>447</v>
      </c>
      <c r="BZ24" s="42">
        <v>0</v>
      </c>
      <c r="CA24" s="44" t="s">
        <v>285</v>
      </c>
      <c r="CC24" s="42" t="s">
        <v>8</v>
      </c>
      <c r="CD24" s="43" t="s">
        <v>478</v>
      </c>
      <c r="CE24" s="42">
        <v>0</v>
      </c>
      <c r="CF24" s="44" t="s">
        <v>285</v>
      </c>
      <c r="CG24" s="18"/>
      <c r="CH24" s="42" t="s">
        <v>41</v>
      </c>
      <c r="CI24" s="45" t="s">
        <v>130</v>
      </c>
      <c r="CJ24" s="42">
        <v>4</v>
      </c>
      <c r="CK24" s="44" t="s">
        <v>36</v>
      </c>
      <c r="CM24" s="42" t="s">
        <v>8</v>
      </c>
      <c r="CN24" s="43" t="s">
        <v>521</v>
      </c>
      <c r="CO24" s="42">
        <v>0</v>
      </c>
      <c r="CP24" s="44" t="s">
        <v>285</v>
      </c>
      <c r="CQ24" s="18"/>
      <c r="CR24" s="42" t="s">
        <v>41</v>
      </c>
      <c r="CS24" s="45" t="s">
        <v>320</v>
      </c>
      <c r="CT24" s="42">
        <v>3</v>
      </c>
      <c r="CU24" s="44" t="s">
        <v>38</v>
      </c>
    </row>
    <row r="25" spans="1:99" ht="30.65" customHeight="1" x14ac:dyDescent="0.35">
      <c r="A25" s="20" t="s">
        <v>37</v>
      </c>
      <c r="B25" s="21">
        <v>-0.25219999999999998</v>
      </c>
      <c r="C25" s="20">
        <v>3</v>
      </c>
      <c r="D25" s="22" t="s">
        <v>38</v>
      </c>
      <c r="E25" s="18"/>
      <c r="F25" s="20" t="s">
        <v>42</v>
      </c>
      <c r="G25" s="5">
        <v>-0.04</v>
      </c>
      <c r="H25" s="20">
        <v>2</v>
      </c>
      <c r="I25" s="22" t="s">
        <v>43</v>
      </c>
      <c r="K25" s="42" t="s">
        <v>37</v>
      </c>
      <c r="L25" s="43" t="s">
        <v>93</v>
      </c>
      <c r="M25" s="42">
        <v>3</v>
      </c>
      <c r="N25" s="44" t="s">
        <v>38</v>
      </c>
      <c r="O25" s="18"/>
      <c r="P25" s="42" t="s">
        <v>42</v>
      </c>
      <c r="Q25" s="45" t="s">
        <v>113</v>
      </c>
      <c r="R25" s="42">
        <v>2</v>
      </c>
      <c r="S25" s="44" t="s">
        <v>43</v>
      </c>
      <c r="U25" s="42" t="s">
        <v>37</v>
      </c>
      <c r="V25" s="43" t="s">
        <v>173</v>
      </c>
      <c r="W25" s="42">
        <v>1</v>
      </c>
      <c r="X25" s="44" t="s">
        <v>218</v>
      </c>
      <c r="Y25" s="18"/>
      <c r="Z25" s="42" t="s">
        <v>42</v>
      </c>
      <c r="AA25" s="45" t="s">
        <v>192</v>
      </c>
      <c r="AB25" s="42">
        <v>2</v>
      </c>
      <c r="AC25" s="44" t="s">
        <v>43</v>
      </c>
      <c r="AE25" s="42" t="s">
        <v>37</v>
      </c>
      <c r="AF25" s="43" t="s">
        <v>251</v>
      </c>
      <c r="AG25" s="42">
        <v>1</v>
      </c>
      <c r="AH25" s="44" t="s">
        <v>218</v>
      </c>
      <c r="AI25" s="18"/>
      <c r="AJ25" s="42" t="s">
        <v>42</v>
      </c>
      <c r="AK25" s="45" t="s">
        <v>269</v>
      </c>
      <c r="AL25" s="42">
        <v>0</v>
      </c>
      <c r="AM25" s="44" t="s">
        <v>285</v>
      </c>
      <c r="AO25" s="42" t="s">
        <v>37</v>
      </c>
      <c r="AP25" s="43" t="s">
        <v>303</v>
      </c>
      <c r="AQ25" s="42">
        <v>1</v>
      </c>
      <c r="AR25" s="44" t="s">
        <v>218</v>
      </c>
      <c r="AS25" s="18"/>
      <c r="AT25" s="42" t="s">
        <v>42</v>
      </c>
      <c r="AU25" s="45" t="s">
        <v>318</v>
      </c>
      <c r="AV25" s="42">
        <v>3</v>
      </c>
      <c r="AW25" s="44" t="s">
        <v>38</v>
      </c>
      <c r="AY25" s="42" t="s">
        <v>37</v>
      </c>
      <c r="AZ25" s="43" t="s">
        <v>355</v>
      </c>
      <c r="BA25" s="42">
        <v>4</v>
      </c>
      <c r="BB25" s="44" t="s">
        <v>36</v>
      </c>
      <c r="BC25" s="18"/>
      <c r="BD25" s="42" t="s">
        <v>42</v>
      </c>
      <c r="BE25" s="45" t="s">
        <v>332</v>
      </c>
      <c r="BF25" s="42">
        <v>3</v>
      </c>
      <c r="BG25" s="44" t="s">
        <v>38</v>
      </c>
      <c r="BI25" s="42" t="s">
        <v>37</v>
      </c>
      <c r="BJ25" s="43" t="s">
        <v>397</v>
      </c>
      <c r="BK25" s="42">
        <v>0</v>
      </c>
      <c r="BL25" s="44" t="s">
        <v>285</v>
      </c>
      <c r="BM25" s="18"/>
      <c r="BN25" s="42" t="s">
        <v>42</v>
      </c>
      <c r="BO25" s="45" t="s">
        <v>407</v>
      </c>
      <c r="BP25" s="42">
        <v>3</v>
      </c>
      <c r="BQ25" s="44" t="s">
        <v>38</v>
      </c>
      <c r="BS25" s="42" t="s">
        <v>37</v>
      </c>
      <c r="BT25" s="43" t="s">
        <v>433</v>
      </c>
      <c r="BU25" s="42">
        <v>0</v>
      </c>
      <c r="BV25" s="44" t="s">
        <v>285</v>
      </c>
      <c r="BW25" s="18"/>
      <c r="BX25" s="42" t="s">
        <v>42</v>
      </c>
      <c r="BY25" s="45" t="s">
        <v>453</v>
      </c>
      <c r="BZ25" s="42">
        <v>1</v>
      </c>
      <c r="CA25" s="44" t="s">
        <v>218</v>
      </c>
      <c r="CC25" s="42" t="s">
        <v>37</v>
      </c>
      <c r="CD25" s="43" t="s">
        <v>481</v>
      </c>
      <c r="CE25" s="42">
        <v>1</v>
      </c>
      <c r="CF25" s="44" t="s">
        <v>218</v>
      </c>
      <c r="CG25" s="18"/>
      <c r="CH25" s="42" t="s">
        <v>42</v>
      </c>
      <c r="CI25" s="45" t="s">
        <v>496</v>
      </c>
      <c r="CJ25" s="42">
        <v>2</v>
      </c>
      <c r="CK25" s="44" t="s">
        <v>43</v>
      </c>
      <c r="CM25" s="42" t="s">
        <v>37</v>
      </c>
      <c r="CN25" s="43" t="s">
        <v>524</v>
      </c>
      <c r="CO25" s="42">
        <v>2</v>
      </c>
      <c r="CP25" s="44" t="s">
        <v>43</v>
      </c>
      <c r="CQ25" s="18"/>
      <c r="CR25" s="42" t="s">
        <v>42</v>
      </c>
      <c r="CS25" s="45" t="s">
        <v>539</v>
      </c>
      <c r="CT25" s="42">
        <v>2</v>
      </c>
      <c r="CU25" s="44" t="s">
        <v>43</v>
      </c>
    </row>
    <row r="26" spans="1:99" x14ac:dyDescent="0.35">
      <c r="A26" s="20" t="s">
        <v>12</v>
      </c>
      <c r="B26" s="21">
        <v>9.5500000000000002E-2</v>
      </c>
      <c r="C26" s="20">
        <v>4</v>
      </c>
      <c r="D26" s="22" t="s">
        <v>36</v>
      </c>
      <c r="E26" s="18"/>
      <c r="F26" s="20" t="s">
        <v>13</v>
      </c>
      <c r="G26" s="5">
        <v>1.26</v>
      </c>
      <c r="H26" s="20">
        <v>4</v>
      </c>
      <c r="I26" s="22" t="s">
        <v>36</v>
      </c>
      <c r="K26" s="42" t="s">
        <v>12</v>
      </c>
      <c r="L26" s="43" t="s">
        <v>97</v>
      </c>
      <c r="M26" s="42">
        <v>4</v>
      </c>
      <c r="N26" s="44" t="s">
        <v>36</v>
      </c>
      <c r="O26" s="18"/>
      <c r="P26" s="42" t="s">
        <v>13</v>
      </c>
      <c r="Q26" s="45" t="s">
        <v>99</v>
      </c>
      <c r="R26" s="42">
        <v>4</v>
      </c>
      <c r="S26" s="44" t="s">
        <v>36</v>
      </c>
      <c r="U26" s="42" t="s">
        <v>12</v>
      </c>
      <c r="V26" s="43" t="s">
        <v>176</v>
      </c>
      <c r="W26" s="42">
        <v>1</v>
      </c>
      <c r="X26" s="44" t="s">
        <v>218</v>
      </c>
      <c r="Y26" s="18"/>
      <c r="Z26" s="42" t="s">
        <v>13</v>
      </c>
      <c r="AA26" s="45" t="s">
        <v>178</v>
      </c>
      <c r="AB26" s="42">
        <v>2</v>
      </c>
      <c r="AC26" s="44" t="s">
        <v>43</v>
      </c>
      <c r="AE26" s="42" t="s">
        <v>12</v>
      </c>
      <c r="AF26" s="43" t="s">
        <v>254</v>
      </c>
      <c r="AG26" s="42">
        <v>0</v>
      </c>
      <c r="AH26" s="44" t="s">
        <v>285</v>
      </c>
      <c r="AI26" s="18"/>
      <c r="AJ26" s="42" t="s">
        <v>13</v>
      </c>
      <c r="AK26" s="45" t="s">
        <v>216</v>
      </c>
      <c r="AL26" s="42">
        <v>1</v>
      </c>
      <c r="AM26" s="44" t="s">
        <v>285</v>
      </c>
      <c r="AO26" s="42" t="s">
        <v>12</v>
      </c>
      <c r="AP26" s="43" t="s">
        <v>306</v>
      </c>
      <c r="AQ26" s="42">
        <v>0</v>
      </c>
      <c r="AR26" s="44" t="s">
        <v>285</v>
      </c>
      <c r="AS26" s="18"/>
      <c r="AT26" s="42" t="s">
        <v>13</v>
      </c>
      <c r="AU26" s="45" t="s">
        <v>120</v>
      </c>
      <c r="AV26" s="42">
        <v>4</v>
      </c>
      <c r="AW26" s="44" t="s">
        <v>36</v>
      </c>
      <c r="AY26" s="42" t="s">
        <v>12</v>
      </c>
      <c r="AZ26" s="43" t="s">
        <v>358</v>
      </c>
      <c r="BA26" s="42">
        <v>0</v>
      </c>
      <c r="BB26" s="44" t="s">
        <v>285</v>
      </c>
      <c r="BC26" s="18"/>
      <c r="BD26" s="42" t="s">
        <v>13</v>
      </c>
      <c r="BE26" s="45" t="s">
        <v>361</v>
      </c>
      <c r="BF26" s="42">
        <v>4</v>
      </c>
      <c r="BG26" s="44" t="s">
        <v>36</v>
      </c>
      <c r="BI26" s="42" t="s">
        <v>12</v>
      </c>
      <c r="BJ26" s="43" t="s">
        <v>399</v>
      </c>
      <c r="BK26" s="42">
        <v>0</v>
      </c>
      <c r="BL26" s="44" t="s">
        <v>285</v>
      </c>
      <c r="BM26" s="18"/>
      <c r="BN26" s="42" t="s">
        <v>13</v>
      </c>
      <c r="BO26" s="45" t="s">
        <v>119</v>
      </c>
      <c r="BP26" s="42">
        <v>4</v>
      </c>
      <c r="BQ26" s="44" t="s">
        <v>36</v>
      </c>
      <c r="BS26" s="42" t="s">
        <v>12</v>
      </c>
      <c r="BT26" s="43" t="s">
        <v>436</v>
      </c>
      <c r="BU26" s="42">
        <v>0</v>
      </c>
      <c r="BV26" s="44" t="s">
        <v>285</v>
      </c>
      <c r="BW26" s="18"/>
      <c r="BX26" s="42" t="s">
        <v>13</v>
      </c>
      <c r="BY26" s="45" t="s">
        <v>439</v>
      </c>
      <c r="BZ26" s="42">
        <v>0</v>
      </c>
      <c r="CA26" s="44" t="s">
        <v>285</v>
      </c>
      <c r="CC26" s="42" t="s">
        <v>12</v>
      </c>
      <c r="CD26" s="43" t="s">
        <v>484</v>
      </c>
      <c r="CE26" s="42">
        <v>1</v>
      </c>
      <c r="CF26" s="44" t="s">
        <v>218</v>
      </c>
      <c r="CG26" s="18"/>
      <c r="CH26" s="42" t="s">
        <v>13</v>
      </c>
      <c r="CI26" s="45" t="s">
        <v>486</v>
      </c>
      <c r="CJ26" s="42">
        <v>4</v>
      </c>
      <c r="CK26" s="44" t="s">
        <v>36</v>
      </c>
      <c r="CM26" s="42" t="s">
        <v>12</v>
      </c>
      <c r="CN26" s="43" t="s">
        <v>527</v>
      </c>
      <c r="CO26" s="42">
        <v>0</v>
      </c>
      <c r="CP26" s="44" t="s">
        <v>285</v>
      </c>
      <c r="CQ26" s="18"/>
      <c r="CR26" s="42" t="s">
        <v>13</v>
      </c>
      <c r="CS26" s="45" t="s">
        <v>529</v>
      </c>
      <c r="CT26" s="42">
        <v>3</v>
      </c>
      <c r="CU26" s="44" t="s">
        <v>38</v>
      </c>
    </row>
    <row r="27" spans="1:99" x14ac:dyDescent="0.35">
      <c r="A27" s="20" t="s">
        <v>39</v>
      </c>
      <c r="B27" s="23">
        <v>0.8</v>
      </c>
      <c r="C27" s="20">
        <v>3</v>
      </c>
      <c r="D27" s="22" t="s">
        <v>38</v>
      </c>
      <c r="E27" s="18"/>
      <c r="F27" s="20" t="s">
        <v>44</v>
      </c>
      <c r="G27" s="5">
        <v>1.42</v>
      </c>
      <c r="H27" s="20">
        <v>4</v>
      </c>
      <c r="I27" s="22" t="s">
        <v>36</v>
      </c>
      <c r="K27" s="42" t="s">
        <v>39</v>
      </c>
      <c r="L27" s="43" t="s">
        <v>130</v>
      </c>
      <c r="M27" s="42">
        <v>3</v>
      </c>
      <c r="N27" s="44" t="s">
        <v>38</v>
      </c>
      <c r="O27" s="18"/>
      <c r="P27" s="42" t="s">
        <v>44</v>
      </c>
      <c r="Q27" s="45" t="s">
        <v>119</v>
      </c>
      <c r="R27" s="42">
        <v>4</v>
      </c>
      <c r="S27" s="44" t="s">
        <v>36</v>
      </c>
      <c r="U27" s="42" t="s">
        <v>39</v>
      </c>
      <c r="V27" s="43" t="s">
        <v>210</v>
      </c>
      <c r="W27" s="42">
        <v>1</v>
      </c>
      <c r="X27" s="44" t="s">
        <v>218</v>
      </c>
      <c r="Y27" s="18"/>
      <c r="Z27" s="42" t="s">
        <v>44</v>
      </c>
      <c r="AA27" s="45" t="s">
        <v>200</v>
      </c>
      <c r="AB27" s="42">
        <v>3</v>
      </c>
      <c r="AC27" s="44" t="s">
        <v>38</v>
      </c>
      <c r="AE27" s="42" t="s">
        <v>39</v>
      </c>
      <c r="AF27" s="43" t="s">
        <v>201</v>
      </c>
      <c r="AG27" s="42">
        <v>0</v>
      </c>
      <c r="AH27" s="44" t="s">
        <v>285</v>
      </c>
      <c r="AI27" s="18"/>
      <c r="AJ27" s="42" t="s">
        <v>44</v>
      </c>
      <c r="AK27" s="45" t="s">
        <v>272</v>
      </c>
      <c r="AL27" s="42">
        <v>0</v>
      </c>
      <c r="AM27" s="44" t="s">
        <v>285</v>
      </c>
      <c r="AO27" s="42" t="s">
        <v>39</v>
      </c>
      <c r="AP27" s="43" t="s">
        <v>331</v>
      </c>
      <c r="AQ27" s="42">
        <v>0</v>
      </c>
      <c r="AR27" s="44" t="s">
        <v>285</v>
      </c>
      <c r="AS27" s="18"/>
      <c r="AT27" s="42" t="s">
        <v>44</v>
      </c>
      <c r="AU27" s="45" t="s">
        <v>119</v>
      </c>
      <c r="AV27" s="42">
        <v>4</v>
      </c>
      <c r="AW27" s="44" t="s">
        <v>36</v>
      </c>
      <c r="AY27" s="42" t="s">
        <v>39</v>
      </c>
      <c r="AZ27" s="43" t="s">
        <v>272</v>
      </c>
      <c r="BA27" s="42">
        <v>0</v>
      </c>
      <c r="BB27" s="44" t="s">
        <v>285</v>
      </c>
      <c r="BC27" s="18"/>
      <c r="BD27" s="42" t="s">
        <v>44</v>
      </c>
      <c r="BE27" s="45" t="s">
        <v>376</v>
      </c>
      <c r="BF27" s="42">
        <v>4</v>
      </c>
      <c r="BG27" s="44" t="s">
        <v>36</v>
      </c>
      <c r="BI27" s="42" t="s">
        <v>39</v>
      </c>
      <c r="BJ27" s="43" t="s">
        <v>412</v>
      </c>
      <c r="BK27" s="42">
        <v>0</v>
      </c>
      <c r="BL27" s="44" t="s">
        <v>285</v>
      </c>
      <c r="BM27" s="18"/>
      <c r="BN27" s="42" t="s">
        <v>44</v>
      </c>
      <c r="BO27" s="45" t="s">
        <v>408</v>
      </c>
      <c r="BP27" s="42">
        <v>4</v>
      </c>
      <c r="BQ27" s="44" t="s">
        <v>36</v>
      </c>
      <c r="BS27" s="42" t="s">
        <v>39</v>
      </c>
      <c r="BT27" s="43" t="s">
        <v>208</v>
      </c>
      <c r="BU27" s="42">
        <v>2</v>
      </c>
      <c r="BV27" s="44" t="s">
        <v>43</v>
      </c>
      <c r="BW27" s="18"/>
      <c r="BX27" s="42" t="s">
        <v>44</v>
      </c>
      <c r="BY27" s="45" t="s">
        <v>374</v>
      </c>
      <c r="BZ27" s="42">
        <v>0</v>
      </c>
      <c r="CA27" s="44" t="s">
        <v>285</v>
      </c>
      <c r="CC27" s="42" t="s">
        <v>39</v>
      </c>
      <c r="CD27" s="43" t="s">
        <v>204</v>
      </c>
      <c r="CE27" s="42">
        <v>0</v>
      </c>
      <c r="CF27" s="44" t="s">
        <v>285</v>
      </c>
      <c r="CG27" s="18"/>
      <c r="CH27" s="42" t="s">
        <v>44</v>
      </c>
      <c r="CI27" s="45" t="s">
        <v>497</v>
      </c>
      <c r="CJ27" s="42">
        <v>4</v>
      </c>
      <c r="CK27" s="44" t="s">
        <v>36</v>
      </c>
      <c r="CM27" s="42" t="s">
        <v>39</v>
      </c>
      <c r="CN27" s="43" t="s">
        <v>380</v>
      </c>
      <c r="CO27" s="42">
        <v>0</v>
      </c>
      <c r="CP27" s="44" t="s">
        <v>285</v>
      </c>
      <c r="CQ27" s="18"/>
      <c r="CR27" s="42" t="s">
        <v>44</v>
      </c>
      <c r="CS27" s="45" t="s">
        <v>541</v>
      </c>
      <c r="CT27" s="42">
        <v>4</v>
      </c>
      <c r="CU27" s="44" t="s">
        <v>36</v>
      </c>
    </row>
    <row r="28" spans="1:99" x14ac:dyDescent="0.35">
      <c r="A28" s="20" t="s">
        <v>14</v>
      </c>
      <c r="B28" s="21">
        <v>-3.27E-2</v>
      </c>
      <c r="C28" s="20">
        <v>4</v>
      </c>
      <c r="D28" s="22" t="s">
        <v>36</v>
      </c>
      <c r="E28" s="18"/>
      <c r="F28" s="28" t="s">
        <v>45</v>
      </c>
      <c r="G28" s="5">
        <v>0.48</v>
      </c>
      <c r="H28" s="20">
        <v>4</v>
      </c>
      <c r="I28" s="22" t="s">
        <v>36</v>
      </c>
      <c r="K28" s="42" t="s">
        <v>14</v>
      </c>
      <c r="L28" s="43" t="s">
        <v>102</v>
      </c>
      <c r="M28" s="42">
        <v>4</v>
      </c>
      <c r="N28" s="44" t="s">
        <v>36</v>
      </c>
      <c r="O28" s="18"/>
      <c r="P28" s="42" t="s">
        <v>45</v>
      </c>
      <c r="Q28" s="45" t="s">
        <v>139</v>
      </c>
      <c r="R28" s="42">
        <v>4</v>
      </c>
      <c r="S28" s="44" t="s">
        <v>36</v>
      </c>
      <c r="U28" s="42" t="s">
        <v>14</v>
      </c>
      <c r="V28" s="43" t="s">
        <v>180</v>
      </c>
      <c r="W28" s="42">
        <v>1</v>
      </c>
      <c r="X28" s="44" t="s">
        <v>218</v>
      </c>
      <c r="Y28" s="18"/>
      <c r="Z28" s="42" t="s">
        <v>45</v>
      </c>
      <c r="AA28" s="45" t="s">
        <v>219</v>
      </c>
      <c r="AB28" s="42">
        <v>2</v>
      </c>
      <c r="AC28" s="44" t="s">
        <v>43</v>
      </c>
      <c r="AE28" s="42" t="s">
        <v>14</v>
      </c>
      <c r="AF28" s="43" t="s">
        <v>258</v>
      </c>
      <c r="AG28" s="42">
        <v>0</v>
      </c>
      <c r="AH28" s="44" t="s">
        <v>285</v>
      </c>
      <c r="AI28" s="18"/>
      <c r="AJ28" s="42" t="s">
        <v>45</v>
      </c>
      <c r="AK28" s="45" t="s">
        <v>286</v>
      </c>
      <c r="AL28" s="42">
        <v>0</v>
      </c>
      <c r="AM28" s="44" t="s">
        <v>285</v>
      </c>
      <c r="AO28" s="42" t="s">
        <v>14</v>
      </c>
      <c r="AP28" s="43" t="s">
        <v>258</v>
      </c>
      <c r="AQ28" s="42">
        <v>0</v>
      </c>
      <c r="AR28" s="44" t="s">
        <v>285</v>
      </c>
      <c r="AS28" s="18"/>
      <c r="AT28" s="42" t="s">
        <v>45</v>
      </c>
      <c r="AU28" s="45" t="s">
        <v>338</v>
      </c>
      <c r="AV28" s="42">
        <v>4</v>
      </c>
      <c r="AW28" s="44" t="s">
        <v>36</v>
      </c>
      <c r="AY28" s="42" t="s">
        <v>14</v>
      </c>
      <c r="AZ28" s="43" t="s">
        <v>258</v>
      </c>
      <c r="BA28" s="42">
        <v>0</v>
      </c>
      <c r="BB28" s="44" t="s">
        <v>285</v>
      </c>
      <c r="BC28" s="18"/>
      <c r="BD28" s="42" t="s">
        <v>45</v>
      </c>
      <c r="BE28" s="45" t="s">
        <v>380</v>
      </c>
      <c r="BF28" s="42">
        <v>4</v>
      </c>
      <c r="BG28" s="44" t="s">
        <v>36</v>
      </c>
      <c r="BI28" s="42" t="s">
        <v>14</v>
      </c>
      <c r="BJ28" s="43" t="s">
        <v>401</v>
      </c>
      <c r="BK28" s="42">
        <v>1</v>
      </c>
      <c r="BL28" s="44" t="s">
        <v>218</v>
      </c>
      <c r="BM28" s="18"/>
      <c r="BN28" s="42" t="s">
        <v>45</v>
      </c>
      <c r="BO28" s="45" t="s">
        <v>415</v>
      </c>
      <c r="BP28" s="42">
        <v>3</v>
      </c>
      <c r="BQ28" s="44" t="s">
        <v>38</v>
      </c>
      <c r="BS28" s="42" t="s">
        <v>14</v>
      </c>
      <c r="BT28" s="43" t="s">
        <v>442</v>
      </c>
      <c r="BU28" s="42">
        <v>0</v>
      </c>
      <c r="BV28" s="44" t="s">
        <v>285</v>
      </c>
      <c r="BW28" s="18"/>
      <c r="BX28" s="42" t="s">
        <v>45</v>
      </c>
      <c r="BY28" s="45" t="s">
        <v>179</v>
      </c>
      <c r="BZ28" s="42">
        <v>0</v>
      </c>
      <c r="CA28" s="44" t="s">
        <v>285</v>
      </c>
      <c r="CC28" s="42" t="s">
        <v>14</v>
      </c>
      <c r="CD28" s="43" t="s">
        <v>487</v>
      </c>
      <c r="CE28" s="42">
        <v>1</v>
      </c>
      <c r="CF28" s="44" t="s">
        <v>218</v>
      </c>
      <c r="CG28" s="18"/>
      <c r="CH28" s="42" t="s">
        <v>45</v>
      </c>
      <c r="CI28" s="45" t="s">
        <v>506</v>
      </c>
      <c r="CJ28" s="42">
        <v>4</v>
      </c>
      <c r="CK28" s="44" t="s">
        <v>36</v>
      </c>
      <c r="CM28" s="42" t="s">
        <v>14</v>
      </c>
      <c r="CN28" s="43" t="s">
        <v>531</v>
      </c>
      <c r="CO28" s="42">
        <v>2</v>
      </c>
      <c r="CP28" s="44" t="s">
        <v>43</v>
      </c>
      <c r="CQ28" s="18"/>
      <c r="CR28" s="42" t="s">
        <v>45</v>
      </c>
      <c r="CS28" s="45" t="s">
        <v>549</v>
      </c>
      <c r="CT28" s="42">
        <v>3</v>
      </c>
      <c r="CU28" s="44" t="s">
        <v>38</v>
      </c>
    </row>
    <row r="29" spans="1:99" x14ac:dyDescent="0.35">
      <c r="A29" s="28" t="s">
        <v>574</v>
      </c>
      <c r="B29" s="5" t="s">
        <v>575</v>
      </c>
      <c r="C29" s="20">
        <v>1</v>
      </c>
      <c r="D29" s="22" t="s">
        <v>218</v>
      </c>
      <c r="E29" s="14"/>
      <c r="F29" s="14"/>
      <c r="G29" s="14"/>
      <c r="H29" s="14"/>
      <c r="I29" s="14"/>
      <c r="K29" s="28" t="s">
        <v>574</v>
      </c>
      <c r="L29" s="2">
        <v>0.1208</v>
      </c>
      <c r="M29" s="20">
        <v>4</v>
      </c>
      <c r="N29" s="44" t="s">
        <v>36</v>
      </c>
      <c r="O29" s="14"/>
      <c r="P29" s="14"/>
      <c r="Q29" s="14"/>
      <c r="R29" s="14"/>
      <c r="S29" s="14"/>
      <c r="U29" s="28" t="s">
        <v>574</v>
      </c>
      <c r="V29" s="5" t="s">
        <v>576</v>
      </c>
      <c r="W29" s="20">
        <v>2</v>
      </c>
      <c r="X29" s="22" t="s">
        <v>43</v>
      </c>
      <c r="Y29" s="14"/>
      <c r="Z29" s="14"/>
      <c r="AA29" s="14"/>
      <c r="AB29" s="14"/>
      <c r="AC29" s="14"/>
      <c r="AE29" s="28" t="s">
        <v>574</v>
      </c>
      <c r="AF29" s="5" t="s">
        <v>576</v>
      </c>
      <c r="AG29" s="20">
        <v>2</v>
      </c>
      <c r="AH29" s="22" t="s">
        <v>43</v>
      </c>
      <c r="AI29" s="14"/>
      <c r="AJ29" s="14"/>
      <c r="AK29" s="14"/>
      <c r="AL29" s="14"/>
      <c r="AM29" s="14"/>
      <c r="AO29" s="28" t="s">
        <v>574</v>
      </c>
      <c r="AP29" s="5" t="s">
        <v>580</v>
      </c>
      <c r="AQ29" s="20">
        <v>4</v>
      </c>
      <c r="AR29" s="22" t="s">
        <v>36</v>
      </c>
      <c r="AS29" s="14"/>
      <c r="AT29" s="14"/>
      <c r="AU29" s="14"/>
      <c r="AV29" s="14"/>
      <c r="AW29" s="14"/>
      <c r="AY29" s="28" t="s">
        <v>574</v>
      </c>
      <c r="AZ29" s="5" t="s">
        <v>577</v>
      </c>
      <c r="BA29" s="20">
        <v>3</v>
      </c>
      <c r="BB29" s="22" t="s">
        <v>36</v>
      </c>
      <c r="BC29" s="14"/>
      <c r="BD29" s="14"/>
      <c r="BE29" s="14"/>
      <c r="BF29" s="14"/>
      <c r="BG29" s="14"/>
      <c r="BI29" s="28" t="s">
        <v>574</v>
      </c>
      <c r="BJ29" s="5" t="s">
        <v>579</v>
      </c>
      <c r="BK29" s="20">
        <v>4</v>
      </c>
      <c r="BL29" s="22" t="s">
        <v>36</v>
      </c>
      <c r="BM29" s="14"/>
      <c r="BN29" s="14"/>
      <c r="BO29" s="14"/>
      <c r="BP29" s="14"/>
      <c r="BQ29" s="14"/>
      <c r="BS29" s="28" t="s">
        <v>574</v>
      </c>
      <c r="BT29" s="5" t="s">
        <v>421</v>
      </c>
      <c r="BU29" s="20">
        <v>3</v>
      </c>
      <c r="BV29" s="22" t="s">
        <v>38</v>
      </c>
      <c r="BW29" s="14"/>
      <c r="BX29" s="14"/>
      <c r="BY29" s="14"/>
      <c r="BZ29" s="14"/>
      <c r="CA29" s="14"/>
      <c r="CC29" s="28" t="s">
        <v>574</v>
      </c>
      <c r="CD29" s="5" t="s">
        <v>578</v>
      </c>
      <c r="CE29" s="20"/>
      <c r="CF29" s="22"/>
      <c r="CG29" s="14"/>
      <c r="CH29" s="14"/>
      <c r="CI29" s="14"/>
      <c r="CJ29" s="14"/>
      <c r="CK29" s="14"/>
      <c r="CM29" s="28" t="s">
        <v>574</v>
      </c>
      <c r="CN29" s="5" t="s">
        <v>512</v>
      </c>
      <c r="CO29" s="20"/>
      <c r="CP29" s="22"/>
      <c r="CQ29" s="14"/>
      <c r="CR29" s="14"/>
      <c r="CS29" s="14"/>
      <c r="CT29" s="14"/>
      <c r="CU29" s="14"/>
    </row>
    <row r="30" spans="1:99" x14ac:dyDescent="0.35">
      <c r="A30" s="15"/>
      <c r="B30" s="14"/>
      <c r="C30" s="14"/>
      <c r="D30" s="14"/>
      <c r="E30" s="14"/>
      <c r="F30" s="14"/>
      <c r="G30" s="14"/>
      <c r="H30" s="14"/>
      <c r="I30" s="14"/>
      <c r="K30" s="15"/>
      <c r="L30" s="14"/>
      <c r="M30" s="14"/>
      <c r="N30" s="14"/>
      <c r="O30" s="14"/>
      <c r="P30" s="14"/>
      <c r="Q30" s="14"/>
      <c r="R30" s="14"/>
      <c r="S30" s="14"/>
      <c r="U30" s="15"/>
      <c r="V30" s="14"/>
      <c r="W30" s="14"/>
      <c r="X30" s="14"/>
      <c r="Y30" s="14"/>
      <c r="Z30" s="14"/>
      <c r="AA30" s="14"/>
      <c r="AB30" s="14"/>
      <c r="AC30" s="14"/>
      <c r="AE30" s="15"/>
      <c r="AF30" s="14"/>
      <c r="AG30" s="14"/>
      <c r="AH30" s="14"/>
      <c r="AI30" s="14"/>
      <c r="AJ30" s="14"/>
      <c r="AK30" s="14"/>
      <c r="AL30" s="14"/>
      <c r="AM30" s="14"/>
      <c r="AO30" s="15"/>
      <c r="AP30" s="14"/>
      <c r="AQ30" s="14"/>
      <c r="AR30" s="14"/>
      <c r="AS30" s="14"/>
      <c r="AT30" s="14"/>
      <c r="AU30" s="14"/>
      <c r="AV30" s="14"/>
      <c r="AW30" s="14"/>
      <c r="AY30" s="15"/>
      <c r="AZ30" s="14"/>
      <c r="BA30" s="14"/>
      <c r="BB30" s="14"/>
      <c r="BC30" s="14"/>
      <c r="BD30" s="14"/>
      <c r="BE30" s="14"/>
      <c r="BF30" s="14"/>
      <c r="BG30" s="14"/>
      <c r="BI30" s="15"/>
      <c r="BJ30" s="14"/>
      <c r="BK30" s="14"/>
      <c r="BL30" s="14"/>
      <c r="BM30" s="14"/>
      <c r="BN30" s="14"/>
      <c r="BO30" s="14"/>
      <c r="BP30" s="14"/>
      <c r="BQ30" s="14"/>
      <c r="BS30" s="15"/>
      <c r="BT30" s="14"/>
      <c r="BU30" s="14"/>
      <c r="BV30" s="14"/>
      <c r="BW30" s="14"/>
      <c r="BX30" s="14"/>
      <c r="BY30" s="14"/>
      <c r="BZ30" s="14"/>
      <c r="CA30" s="14"/>
      <c r="CC30" s="15"/>
      <c r="CD30" s="14"/>
      <c r="CE30" s="14"/>
      <c r="CF30" s="14"/>
      <c r="CG30" s="14"/>
      <c r="CH30" s="14"/>
      <c r="CI30" s="14"/>
      <c r="CJ30" s="14"/>
      <c r="CK30" s="14"/>
      <c r="CM30" s="15"/>
      <c r="CN30" s="14"/>
      <c r="CO30" s="14"/>
      <c r="CP30" s="14"/>
      <c r="CQ30" s="14"/>
      <c r="CR30" s="14"/>
      <c r="CS30" s="14"/>
      <c r="CT30" s="14"/>
      <c r="CU30" s="14"/>
    </row>
    <row r="31" spans="1:99" x14ac:dyDescent="0.35">
      <c r="A31" s="14"/>
      <c r="B31" s="14"/>
      <c r="C31" s="14"/>
      <c r="D31" s="14"/>
      <c r="E31" s="14"/>
      <c r="F31" s="48" t="s">
        <v>572</v>
      </c>
      <c r="G31" s="14">
        <f>AVERAGE(C24:C29,H24:H28)</f>
        <v>3.3636363636363638</v>
      </c>
      <c r="H31" s="14"/>
      <c r="I31" s="14"/>
      <c r="K31" s="14"/>
      <c r="L31" s="14"/>
      <c r="M31" s="14"/>
      <c r="N31" s="14"/>
      <c r="O31" s="14"/>
      <c r="P31" s="48" t="s">
        <v>572</v>
      </c>
      <c r="Q31" s="14">
        <f>AVERAGE(M24:M29,R24:R28)</f>
        <v>3.6363636363636362</v>
      </c>
      <c r="R31" s="14"/>
      <c r="S31" s="14"/>
      <c r="U31" s="14"/>
      <c r="V31" s="14"/>
      <c r="W31" s="14"/>
      <c r="X31" s="14"/>
      <c r="Y31" s="14"/>
      <c r="Z31" s="48" t="s">
        <v>572</v>
      </c>
      <c r="AA31" s="14">
        <f>AVERAGE(W24:W29,AB24:AB28)</f>
        <v>1.6363636363636365</v>
      </c>
      <c r="AB31" s="14"/>
      <c r="AC31" s="14"/>
      <c r="AE31" s="14"/>
      <c r="AF31" s="14"/>
      <c r="AG31" s="14"/>
      <c r="AH31" s="14"/>
      <c r="AI31" s="14"/>
      <c r="AJ31" s="48" t="s">
        <v>572</v>
      </c>
      <c r="AK31" s="14">
        <f>AVERAGE(AG24:AG29,AL24:AL28)</f>
        <v>0.36363636363636365</v>
      </c>
      <c r="AL31" s="14"/>
      <c r="AM31" s="14"/>
      <c r="AO31" s="14"/>
      <c r="AP31" s="14"/>
      <c r="AQ31" s="14"/>
      <c r="AR31" s="14"/>
      <c r="AS31" s="14"/>
      <c r="AT31" s="48" t="s">
        <v>572</v>
      </c>
      <c r="AU31" s="14">
        <f>AVERAGE(AQ24:AQ29,AV24:AV28)</f>
        <v>2.1818181818181817</v>
      </c>
      <c r="AV31" s="14"/>
      <c r="AW31" s="14"/>
      <c r="AY31" s="14"/>
      <c r="AZ31" s="14"/>
      <c r="BA31" s="14"/>
      <c r="BB31" s="14"/>
      <c r="BC31" s="14"/>
      <c r="BD31" s="48" t="s">
        <v>572</v>
      </c>
      <c r="BE31" s="14">
        <f>AVERAGE(BA24:BA29,BF24:BF28)</f>
        <v>2.3636363636363638</v>
      </c>
      <c r="BF31" s="14"/>
      <c r="BG31" s="14"/>
      <c r="BI31" s="14"/>
      <c r="BJ31" s="14"/>
      <c r="BK31" s="14"/>
      <c r="BL31" s="14"/>
      <c r="BM31" s="14"/>
      <c r="BN31" s="48" t="s">
        <v>572</v>
      </c>
      <c r="BO31" s="14">
        <f>AVERAGE(BK24:BK29,BP24:BP28)</f>
        <v>2.0909090909090908</v>
      </c>
      <c r="BP31" s="14"/>
      <c r="BQ31" s="14"/>
      <c r="BS31" s="14"/>
      <c r="BT31" s="14"/>
      <c r="BU31" s="14"/>
      <c r="BV31" s="14"/>
      <c r="BW31" s="14"/>
      <c r="BX31" s="48" t="s">
        <v>572</v>
      </c>
      <c r="BY31" s="14">
        <f>AVERAGE(BU24:BU29,BZ24:BZ28)</f>
        <v>0.54545454545454541</v>
      </c>
      <c r="BZ31" s="14"/>
      <c r="CA31" s="14"/>
      <c r="CC31" s="14"/>
      <c r="CD31" s="14"/>
      <c r="CE31" s="14"/>
      <c r="CF31" s="14"/>
      <c r="CG31" s="14"/>
      <c r="CH31" s="48" t="s">
        <v>572</v>
      </c>
      <c r="CI31" s="14">
        <f>AVERAGE(CE24:CE29,CJ24:CJ28)</f>
        <v>2.1</v>
      </c>
      <c r="CJ31" s="14"/>
      <c r="CK31" s="14"/>
      <c r="CM31" s="14"/>
      <c r="CN31" s="14"/>
      <c r="CO31" s="14"/>
      <c r="CP31" s="14"/>
      <c r="CQ31" s="14"/>
      <c r="CR31" s="48" t="s">
        <v>572</v>
      </c>
      <c r="CS31" s="14">
        <f>AVERAGE(CO24:CO29,CT24:CT28)</f>
        <v>1.9</v>
      </c>
      <c r="CT31" s="14"/>
      <c r="CU31" s="14"/>
    </row>
    <row r="32" spans="1:99" ht="14.4" customHeight="1" x14ac:dyDescent="0.35">
      <c r="A32" s="54" t="s">
        <v>46</v>
      </c>
      <c r="B32" s="55"/>
      <c r="C32" s="14"/>
      <c r="D32" s="14"/>
      <c r="E32" s="14"/>
      <c r="F32" s="14"/>
      <c r="G32" s="14"/>
      <c r="H32" s="14"/>
      <c r="I32" s="14"/>
      <c r="K32" s="54"/>
      <c r="L32" s="55"/>
      <c r="M32" s="14"/>
      <c r="N32" s="14"/>
      <c r="O32" s="14"/>
      <c r="P32" s="14"/>
      <c r="Q32" s="14"/>
      <c r="R32" s="14"/>
      <c r="S32" s="14"/>
      <c r="U32" s="54"/>
      <c r="V32" s="55"/>
      <c r="W32" s="14"/>
      <c r="X32" s="14"/>
      <c r="Y32" s="14"/>
      <c r="Z32" s="14"/>
      <c r="AA32" s="14"/>
      <c r="AB32" s="14"/>
      <c r="AC32" s="14"/>
      <c r="AE32" s="54"/>
      <c r="AF32" s="55"/>
      <c r="AG32" s="14"/>
      <c r="AH32" s="14"/>
      <c r="AI32" s="14"/>
      <c r="AJ32" s="14"/>
      <c r="AK32" s="14"/>
      <c r="AL32" s="14"/>
      <c r="AM32" s="14"/>
      <c r="AO32" s="54"/>
      <c r="AP32" s="55"/>
      <c r="AQ32" s="14"/>
      <c r="AR32" s="14"/>
      <c r="AS32" s="14"/>
      <c r="AT32" s="14"/>
      <c r="AU32" s="14"/>
      <c r="AV32" s="14"/>
      <c r="AW32" s="14"/>
      <c r="AY32" s="54"/>
      <c r="AZ32" s="55"/>
      <c r="BA32" s="14"/>
      <c r="BB32" s="14"/>
      <c r="BC32" s="14"/>
      <c r="BD32" s="14"/>
      <c r="BE32" s="14"/>
      <c r="BF32" s="14"/>
      <c r="BG32" s="14"/>
      <c r="BI32" s="54"/>
      <c r="BJ32" s="55"/>
      <c r="BK32" s="14"/>
      <c r="BL32" s="14"/>
      <c r="BM32" s="14"/>
      <c r="BN32" s="14"/>
      <c r="BO32" s="14"/>
      <c r="BP32" s="14"/>
      <c r="BQ32" s="14"/>
      <c r="BS32" s="54"/>
      <c r="BT32" s="55"/>
      <c r="BU32" s="14"/>
      <c r="BV32" s="14"/>
      <c r="BW32" s="14"/>
      <c r="BX32" s="14"/>
      <c r="BY32" s="14"/>
      <c r="BZ32" s="14"/>
      <c r="CA32" s="14"/>
      <c r="CC32" s="54"/>
      <c r="CD32" s="55"/>
      <c r="CE32" s="14"/>
      <c r="CF32" s="14"/>
      <c r="CG32" s="14"/>
      <c r="CH32" s="14"/>
      <c r="CI32" s="14"/>
      <c r="CJ32" s="14"/>
      <c r="CK32" s="14"/>
      <c r="CM32" s="54"/>
      <c r="CN32" s="55"/>
      <c r="CO32" s="14"/>
      <c r="CP32" s="14"/>
      <c r="CQ32" s="14"/>
      <c r="CR32" s="14"/>
      <c r="CS32" s="14"/>
      <c r="CT32" s="14"/>
      <c r="CU32" s="14"/>
    </row>
    <row r="33" spans="1:99 16380:16384" ht="28.75" customHeight="1" x14ac:dyDescent="0.35">
      <c r="A33" s="24" t="s">
        <v>47</v>
      </c>
      <c r="B33" s="25" t="s">
        <v>48</v>
      </c>
      <c r="C33" s="14"/>
      <c r="D33" s="14"/>
      <c r="E33" s="14"/>
      <c r="F33" s="14"/>
      <c r="G33" s="14"/>
      <c r="H33" s="14"/>
      <c r="I33" s="14"/>
      <c r="K33" s="24" t="s">
        <v>46</v>
      </c>
      <c r="L33" s="25"/>
      <c r="M33" s="14"/>
      <c r="N33" s="14"/>
      <c r="O33" s="14"/>
      <c r="P33" s="14"/>
      <c r="Q33" s="14"/>
      <c r="R33" s="14"/>
      <c r="S33" s="14"/>
      <c r="U33" s="24" t="s">
        <v>46</v>
      </c>
      <c r="V33" s="25"/>
      <c r="W33" s="14"/>
      <c r="X33" s="14"/>
      <c r="Y33" s="14"/>
      <c r="Z33" s="14"/>
      <c r="AA33" s="14"/>
      <c r="AB33" s="14"/>
      <c r="AC33" s="14"/>
      <c r="AE33" s="24" t="s">
        <v>46</v>
      </c>
      <c r="AF33" s="25"/>
      <c r="AG33" s="14"/>
      <c r="AH33" s="14"/>
      <c r="AI33" s="14"/>
      <c r="AJ33" s="14"/>
      <c r="AK33" s="14"/>
      <c r="AL33" s="14"/>
      <c r="AM33" s="14"/>
      <c r="AO33" s="24" t="s">
        <v>46</v>
      </c>
      <c r="AP33" s="25"/>
      <c r="AQ33" s="14"/>
      <c r="AR33" s="14"/>
      <c r="AS33" s="14"/>
      <c r="AT33" s="14"/>
      <c r="AU33" s="14"/>
      <c r="AV33" s="14"/>
      <c r="AW33" s="14"/>
      <c r="AY33" s="24" t="s">
        <v>46</v>
      </c>
      <c r="AZ33" s="25"/>
      <c r="BA33" s="14"/>
      <c r="BB33" s="14"/>
      <c r="BC33" s="14"/>
      <c r="BD33" s="14"/>
      <c r="BE33" s="14"/>
      <c r="BF33" s="14"/>
      <c r="BG33" s="14"/>
      <c r="BI33" s="24" t="s">
        <v>46</v>
      </c>
      <c r="BJ33" s="25"/>
      <c r="BK33" s="14"/>
      <c r="BL33" s="14"/>
      <c r="BM33" s="14"/>
      <c r="BN33" s="14"/>
      <c r="BO33" s="14"/>
      <c r="BP33" s="14"/>
      <c r="BQ33" s="14"/>
      <c r="BS33" s="24" t="s">
        <v>46</v>
      </c>
      <c r="BT33" s="25"/>
      <c r="BU33" s="14"/>
      <c r="BV33" s="14"/>
      <c r="BW33" s="14"/>
      <c r="BX33" s="14"/>
      <c r="BY33" s="14"/>
      <c r="BZ33" s="14"/>
      <c r="CA33" s="14"/>
      <c r="CC33" s="24" t="s">
        <v>46</v>
      </c>
      <c r="CD33" s="25"/>
      <c r="CE33" s="14"/>
      <c r="CF33" s="14"/>
      <c r="CG33" s="14"/>
      <c r="CH33" s="14"/>
      <c r="CI33" s="14"/>
      <c r="CJ33" s="14"/>
      <c r="CK33" s="14"/>
      <c r="CM33" s="24" t="s">
        <v>46</v>
      </c>
      <c r="CN33" s="25"/>
      <c r="CO33" s="14"/>
      <c r="CP33" s="14"/>
      <c r="CQ33" s="14"/>
      <c r="CR33" s="14"/>
      <c r="CS33" s="14"/>
      <c r="CT33" s="14"/>
      <c r="CU33" s="14"/>
    </row>
    <row r="34" spans="1:99 16380:16384" ht="18" x14ac:dyDescent="0.35">
      <c r="A34" s="24" t="s">
        <v>49</v>
      </c>
      <c r="B34" s="25" t="s">
        <v>50</v>
      </c>
      <c r="C34" s="14"/>
      <c r="D34" s="14"/>
      <c r="E34" s="14"/>
      <c r="F34" s="14"/>
      <c r="G34" s="14"/>
      <c r="H34" s="14"/>
      <c r="I34" s="14"/>
      <c r="K34" s="24" t="s">
        <v>47</v>
      </c>
      <c r="L34" s="25" t="s">
        <v>48</v>
      </c>
      <c r="M34" s="14"/>
      <c r="N34" s="14"/>
      <c r="O34" s="14"/>
      <c r="P34" s="14"/>
      <c r="Q34" s="14"/>
      <c r="R34" s="14"/>
      <c r="S34" s="14"/>
      <c r="U34" s="24" t="s">
        <v>47</v>
      </c>
      <c r="V34" s="25" t="s">
        <v>220</v>
      </c>
      <c r="W34" s="14"/>
      <c r="X34" s="14"/>
      <c r="Y34" s="14"/>
      <c r="Z34" s="14"/>
      <c r="AA34" s="14"/>
      <c r="AB34" s="14"/>
      <c r="AC34" s="14"/>
      <c r="AE34" s="24" t="s">
        <v>47</v>
      </c>
      <c r="AF34" s="25" t="s">
        <v>220</v>
      </c>
      <c r="AG34" s="14"/>
      <c r="AH34" s="14"/>
      <c r="AI34" s="14"/>
      <c r="AJ34" s="14"/>
      <c r="AK34" s="14"/>
      <c r="AL34" s="14"/>
      <c r="AM34" s="14"/>
      <c r="AO34" s="24" t="s">
        <v>47</v>
      </c>
      <c r="AP34" s="25" t="s">
        <v>220</v>
      </c>
      <c r="AQ34" s="14"/>
      <c r="AR34" s="14"/>
      <c r="AS34" s="14"/>
      <c r="AT34" s="14"/>
      <c r="AU34" s="14"/>
      <c r="AV34" s="14"/>
      <c r="AW34" s="14"/>
      <c r="AY34" s="24" t="s">
        <v>47</v>
      </c>
      <c r="AZ34" s="25" t="s">
        <v>48</v>
      </c>
      <c r="BA34" s="14"/>
      <c r="BB34" s="14"/>
      <c r="BC34" s="14"/>
      <c r="BD34" s="14"/>
      <c r="BE34" s="14"/>
      <c r="BF34" s="14"/>
      <c r="BG34" s="14"/>
      <c r="BI34" s="24" t="s">
        <v>47</v>
      </c>
      <c r="BJ34" s="25" t="s">
        <v>48</v>
      </c>
      <c r="BK34" s="14"/>
      <c r="BL34" s="14"/>
      <c r="BM34" s="14"/>
      <c r="BN34" s="14"/>
      <c r="BO34" s="14"/>
      <c r="BP34" s="14"/>
      <c r="BQ34" s="14"/>
      <c r="BS34" s="24" t="s">
        <v>47</v>
      </c>
      <c r="BT34" s="25" t="s">
        <v>48</v>
      </c>
      <c r="BU34" s="14"/>
      <c r="BV34" s="14"/>
      <c r="BW34" s="14"/>
      <c r="BX34" s="14"/>
      <c r="BY34" s="14"/>
      <c r="BZ34" s="14"/>
      <c r="CA34" s="14"/>
      <c r="CC34" s="24" t="s">
        <v>47</v>
      </c>
      <c r="CD34" s="25" t="s">
        <v>48</v>
      </c>
      <c r="CE34" s="14"/>
      <c r="CF34" s="14"/>
      <c r="CG34" s="14"/>
      <c r="CH34" s="14"/>
      <c r="CI34" s="14"/>
      <c r="CJ34" s="14"/>
      <c r="CK34" s="14"/>
      <c r="CM34" s="24" t="s">
        <v>47</v>
      </c>
      <c r="CN34" s="25" t="s">
        <v>48</v>
      </c>
      <c r="CO34" s="14"/>
      <c r="CP34" s="14"/>
      <c r="CQ34" s="14"/>
      <c r="CR34" s="14"/>
      <c r="CS34" s="14"/>
      <c r="CT34" s="14"/>
      <c r="CU34" s="14"/>
    </row>
    <row r="35" spans="1:99 16380:16384" ht="18" x14ac:dyDescent="0.35">
      <c r="A35" s="24" t="s">
        <v>51</v>
      </c>
      <c r="B35" s="25" t="s">
        <v>52</v>
      </c>
      <c r="C35" s="14"/>
      <c r="D35" s="14"/>
      <c r="E35" s="14"/>
      <c r="F35" s="14"/>
      <c r="G35" s="14"/>
      <c r="H35" s="14"/>
      <c r="I35" s="14"/>
      <c r="K35" s="24" t="s">
        <v>49</v>
      </c>
      <c r="L35" s="25" t="s">
        <v>50</v>
      </c>
      <c r="M35" s="14"/>
      <c r="N35" s="14"/>
      <c r="O35" s="14"/>
      <c r="P35" s="14"/>
      <c r="Q35" s="14"/>
      <c r="R35" s="14"/>
      <c r="S35" s="14"/>
      <c r="U35" s="24" t="s">
        <v>49</v>
      </c>
      <c r="V35" s="25" t="s">
        <v>50</v>
      </c>
      <c r="W35" s="14"/>
      <c r="X35" s="14"/>
      <c r="Y35" s="14"/>
      <c r="Z35" s="14"/>
      <c r="AA35" s="14"/>
      <c r="AB35" s="14"/>
      <c r="AC35" s="14"/>
      <c r="AE35" s="24" t="s">
        <v>49</v>
      </c>
      <c r="AF35" s="25" t="s">
        <v>50</v>
      </c>
      <c r="AG35" s="14"/>
      <c r="AH35" s="14"/>
      <c r="AI35" s="14"/>
      <c r="AJ35" s="14"/>
      <c r="AK35" s="14"/>
      <c r="AL35" s="14"/>
      <c r="AM35" s="14"/>
      <c r="AO35" s="24" t="s">
        <v>49</v>
      </c>
      <c r="AP35" s="25" t="s">
        <v>50</v>
      </c>
      <c r="AQ35" s="14"/>
      <c r="AR35" s="14"/>
      <c r="AS35" s="14"/>
      <c r="AT35" s="14"/>
      <c r="AU35" s="14"/>
      <c r="AV35" s="14"/>
      <c r="AW35" s="14"/>
      <c r="AY35" s="24" t="s">
        <v>49</v>
      </c>
      <c r="AZ35" s="25" t="s">
        <v>50</v>
      </c>
      <c r="BA35" s="14"/>
      <c r="BB35" s="14"/>
      <c r="BC35" s="14"/>
      <c r="BD35" s="14"/>
      <c r="BE35" s="14"/>
      <c r="BF35" s="14"/>
      <c r="BG35" s="14"/>
      <c r="BI35" s="24" t="s">
        <v>49</v>
      </c>
      <c r="BJ35" s="25" t="s">
        <v>416</v>
      </c>
      <c r="BK35" s="14"/>
      <c r="BL35" s="14"/>
      <c r="BM35" s="14"/>
      <c r="BN35" s="14"/>
      <c r="BO35" s="14"/>
      <c r="BP35" s="14"/>
      <c r="BQ35" s="14"/>
      <c r="BS35" s="24" t="s">
        <v>49</v>
      </c>
      <c r="BT35" s="25" t="s">
        <v>50</v>
      </c>
      <c r="BU35" s="14"/>
      <c r="BV35" s="14"/>
      <c r="BW35" s="14"/>
      <c r="BX35" s="14"/>
      <c r="BY35" s="14"/>
      <c r="BZ35" s="14"/>
      <c r="CA35" s="14"/>
      <c r="CC35" s="24" t="s">
        <v>49</v>
      </c>
      <c r="CD35" s="25" t="s">
        <v>50</v>
      </c>
      <c r="CE35" s="14"/>
      <c r="CF35" s="14"/>
      <c r="CG35" s="14"/>
      <c r="CH35" s="14"/>
      <c r="CI35" s="14"/>
      <c r="CJ35" s="14"/>
      <c r="CK35" s="14"/>
      <c r="CM35" s="24" t="s">
        <v>49</v>
      </c>
      <c r="CN35" s="25" t="s">
        <v>50</v>
      </c>
      <c r="CO35" s="14"/>
      <c r="CP35" s="14"/>
      <c r="CQ35" s="14"/>
      <c r="CR35" s="14"/>
      <c r="CS35" s="14"/>
      <c r="CT35" s="14"/>
      <c r="CU35" s="14"/>
      <c r="XEZ35" s="30" t="s">
        <v>148</v>
      </c>
    </row>
    <row r="36" spans="1:99 16380:16384" ht="45" x14ac:dyDescent="0.35">
      <c r="A36" s="24" t="s">
        <v>53</v>
      </c>
      <c r="B36" s="25" t="s">
        <v>52</v>
      </c>
      <c r="C36" s="14"/>
      <c r="D36" s="14"/>
      <c r="E36" s="14"/>
      <c r="F36" s="14"/>
      <c r="G36" s="14"/>
      <c r="H36" s="14"/>
      <c r="I36" s="14"/>
      <c r="K36" s="24" t="s">
        <v>51</v>
      </c>
      <c r="L36" s="25" t="s">
        <v>52</v>
      </c>
      <c r="M36" s="14"/>
      <c r="N36" s="14"/>
      <c r="O36" s="14"/>
      <c r="P36" s="14"/>
      <c r="Q36" s="14"/>
      <c r="R36" s="14"/>
      <c r="S36" s="14"/>
      <c r="U36" s="24" t="s">
        <v>51</v>
      </c>
      <c r="V36" s="25" t="s">
        <v>52</v>
      </c>
      <c r="W36" s="14"/>
      <c r="X36" s="14"/>
      <c r="Y36" s="14"/>
      <c r="Z36" s="14"/>
      <c r="AA36" s="14"/>
      <c r="AB36" s="14"/>
      <c r="AC36" s="14"/>
      <c r="AE36" s="24" t="s">
        <v>51</v>
      </c>
      <c r="AF36" s="25" t="s">
        <v>52</v>
      </c>
      <c r="AG36" s="14"/>
      <c r="AH36" s="14"/>
      <c r="AI36" s="14"/>
      <c r="AJ36" s="14"/>
      <c r="AK36" s="14"/>
      <c r="AL36" s="14"/>
      <c r="AM36" s="14"/>
      <c r="AO36" s="24" t="s">
        <v>51</v>
      </c>
      <c r="AP36" s="25" t="s">
        <v>52</v>
      </c>
      <c r="AQ36" s="14"/>
      <c r="AR36" s="14"/>
      <c r="AS36" s="14"/>
      <c r="AT36" s="14"/>
      <c r="AU36" s="14"/>
      <c r="AV36" s="14"/>
      <c r="AW36" s="14"/>
      <c r="AY36" s="24" t="s">
        <v>51</v>
      </c>
      <c r="AZ36" s="25" t="s">
        <v>52</v>
      </c>
      <c r="BA36" s="14"/>
      <c r="BB36" s="14"/>
      <c r="BC36" s="14"/>
      <c r="BD36" s="14"/>
      <c r="BE36" s="14"/>
      <c r="BF36" s="14"/>
      <c r="BG36" s="14"/>
      <c r="BI36" s="24" t="s">
        <v>51</v>
      </c>
      <c r="BJ36" s="25" t="s">
        <v>52</v>
      </c>
      <c r="BK36" s="14"/>
      <c r="BL36" s="14"/>
      <c r="BM36" s="14"/>
      <c r="BN36" s="14"/>
      <c r="BO36" s="14"/>
      <c r="BP36" s="14"/>
      <c r="BQ36" s="14"/>
      <c r="BS36" s="24" t="s">
        <v>51</v>
      </c>
      <c r="BT36" s="25" t="s">
        <v>52</v>
      </c>
      <c r="BU36" s="14"/>
      <c r="BV36" s="14"/>
      <c r="BW36" s="14"/>
      <c r="BX36" s="14"/>
      <c r="BY36" s="14"/>
      <c r="BZ36" s="14"/>
      <c r="CA36" s="14"/>
      <c r="CC36" s="24" t="s">
        <v>51</v>
      </c>
      <c r="CD36" s="25" t="s">
        <v>52</v>
      </c>
      <c r="CE36" s="14"/>
      <c r="CF36" s="14"/>
      <c r="CG36" s="14"/>
      <c r="CH36" s="14"/>
      <c r="CI36" s="14"/>
      <c r="CJ36" s="14"/>
      <c r="CK36" s="14"/>
      <c r="CM36" s="24" t="s">
        <v>51</v>
      </c>
      <c r="CN36" s="25" t="s">
        <v>52</v>
      </c>
      <c r="CO36" s="14"/>
      <c r="CP36" s="14"/>
      <c r="CQ36" s="14"/>
      <c r="CR36" s="14"/>
      <c r="CS36" s="14"/>
      <c r="CT36" s="14"/>
      <c r="CU36" s="14"/>
      <c r="XEZ36" s="29" t="s">
        <v>48</v>
      </c>
    </row>
    <row r="37" spans="1:99 16380:16384" ht="18" x14ac:dyDescent="0.35">
      <c r="A37" s="24" t="s">
        <v>54</v>
      </c>
      <c r="B37" s="25" t="s">
        <v>52</v>
      </c>
      <c r="C37" s="14"/>
      <c r="D37" s="14"/>
      <c r="E37" s="14"/>
      <c r="F37" s="14"/>
      <c r="G37" s="14"/>
      <c r="H37" s="14"/>
      <c r="I37" s="14"/>
      <c r="K37" s="24" t="s">
        <v>53</v>
      </c>
      <c r="L37" s="25" t="s">
        <v>52</v>
      </c>
      <c r="M37" s="14"/>
      <c r="N37" s="14"/>
      <c r="O37" s="14"/>
      <c r="P37" s="14"/>
      <c r="Q37" s="14"/>
      <c r="R37" s="14"/>
      <c r="S37" s="14"/>
      <c r="U37" s="24" t="s">
        <v>53</v>
      </c>
      <c r="V37" s="25" t="s">
        <v>52</v>
      </c>
      <c r="W37" s="14"/>
      <c r="X37" s="14"/>
      <c r="Y37" s="14"/>
      <c r="Z37" s="14"/>
      <c r="AA37" s="14"/>
      <c r="AB37" s="14"/>
      <c r="AC37" s="14"/>
      <c r="AE37" s="24" t="s">
        <v>53</v>
      </c>
      <c r="AF37" s="25" t="s">
        <v>52</v>
      </c>
      <c r="AG37" s="14"/>
      <c r="AH37" s="14"/>
      <c r="AI37" s="14"/>
      <c r="AJ37" s="14"/>
      <c r="AK37" s="14"/>
      <c r="AL37" s="14"/>
      <c r="AM37" s="14"/>
      <c r="AO37" s="24" t="s">
        <v>53</v>
      </c>
      <c r="AP37" s="25" t="s">
        <v>52</v>
      </c>
      <c r="AQ37" s="14"/>
      <c r="AR37" s="14"/>
      <c r="AS37" s="14"/>
      <c r="AT37" s="14"/>
      <c r="AU37" s="14"/>
      <c r="AV37" s="14"/>
      <c r="AW37" s="14"/>
      <c r="AY37" s="24" t="s">
        <v>53</v>
      </c>
      <c r="AZ37" s="25" t="s">
        <v>52</v>
      </c>
      <c r="BA37" s="14"/>
      <c r="BB37" s="14"/>
      <c r="BC37" s="14"/>
      <c r="BD37" s="14"/>
      <c r="BE37" s="14"/>
      <c r="BF37" s="14"/>
      <c r="BG37" s="14"/>
      <c r="BI37" s="24" t="s">
        <v>53</v>
      </c>
      <c r="BJ37" s="25" t="s">
        <v>52</v>
      </c>
      <c r="BK37" s="14"/>
      <c r="BL37" s="14"/>
      <c r="BM37" s="14"/>
      <c r="BN37" s="14"/>
      <c r="BO37" s="14"/>
      <c r="BP37" s="14"/>
      <c r="BQ37" s="14"/>
      <c r="BS37" s="24" t="s">
        <v>53</v>
      </c>
      <c r="BT37" s="25" t="s">
        <v>52</v>
      </c>
      <c r="BU37" s="14"/>
      <c r="BV37" s="14"/>
      <c r="BW37" s="14"/>
      <c r="BX37" s="14"/>
      <c r="BY37" s="14"/>
      <c r="BZ37" s="14"/>
      <c r="CA37" s="14"/>
      <c r="CC37" s="24" t="s">
        <v>53</v>
      </c>
      <c r="CD37" s="25" t="s">
        <v>52</v>
      </c>
      <c r="CE37" s="14"/>
      <c r="CF37" s="14"/>
      <c r="CG37" s="14"/>
      <c r="CH37" s="14"/>
      <c r="CI37" s="14"/>
      <c r="CJ37" s="14"/>
      <c r="CK37" s="14"/>
      <c r="CM37" s="24" t="s">
        <v>53</v>
      </c>
      <c r="CN37" s="25" t="s">
        <v>52</v>
      </c>
      <c r="CO37" s="14"/>
      <c r="CP37" s="14"/>
      <c r="CQ37" s="14"/>
      <c r="CR37" s="14"/>
      <c r="CS37" s="14"/>
      <c r="CT37" s="14"/>
      <c r="CU37" s="14"/>
      <c r="XEZ37" s="30" t="s">
        <v>49</v>
      </c>
    </row>
    <row r="38" spans="1:99 16380:16384" ht="126" x14ac:dyDescent="0.35">
      <c r="A38" s="24" t="s">
        <v>55</v>
      </c>
      <c r="B38" s="25" t="s">
        <v>52</v>
      </c>
      <c r="C38" s="14"/>
      <c r="D38" s="14"/>
      <c r="E38" s="14"/>
      <c r="F38" s="14"/>
      <c r="G38" s="14"/>
      <c r="H38" s="14"/>
      <c r="I38" s="14"/>
      <c r="K38" s="24" t="s">
        <v>54</v>
      </c>
      <c r="L38" s="25" t="s">
        <v>52</v>
      </c>
      <c r="M38" s="14"/>
      <c r="N38" s="14"/>
      <c r="O38" s="14"/>
      <c r="P38" s="14"/>
      <c r="Q38" s="14"/>
      <c r="R38" s="14"/>
      <c r="S38" s="14"/>
      <c r="U38" s="24" t="s">
        <v>54</v>
      </c>
      <c r="V38" s="25" t="s">
        <v>52</v>
      </c>
      <c r="W38" s="14"/>
      <c r="X38" s="14"/>
      <c r="Y38" s="14"/>
      <c r="Z38" s="14"/>
      <c r="AA38" s="14"/>
      <c r="AB38" s="14"/>
      <c r="AC38" s="14"/>
      <c r="AE38" s="24" t="s">
        <v>54</v>
      </c>
      <c r="AF38" s="25" t="s">
        <v>142</v>
      </c>
      <c r="AG38" s="14"/>
      <c r="AH38" s="14"/>
      <c r="AI38" s="14"/>
      <c r="AJ38" s="14"/>
      <c r="AK38" s="14"/>
      <c r="AL38" s="14"/>
      <c r="AM38" s="14"/>
      <c r="AO38" s="24" t="s">
        <v>54</v>
      </c>
      <c r="AP38" s="25" t="s">
        <v>142</v>
      </c>
      <c r="AQ38" s="14"/>
      <c r="AR38" s="14"/>
      <c r="AS38" s="14"/>
      <c r="AT38" s="14"/>
      <c r="AU38" s="14"/>
      <c r="AV38" s="14"/>
      <c r="AW38" s="14"/>
      <c r="AY38" s="24" t="s">
        <v>54</v>
      </c>
      <c r="AZ38" s="25" t="s">
        <v>52</v>
      </c>
      <c r="BA38" s="14"/>
      <c r="BB38" s="14"/>
      <c r="BC38" s="14"/>
      <c r="BD38" s="14"/>
      <c r="BE38" s="14"/>
      <c r="BF38" s="14"/>
      <c r="BG38" s="14"/>
      <c r="BI38" s="24" t="s">
        <v>54</v>
      </c>
      <c r="BJ38" s="25" t="s">
        <v>142</v>
      </c>
      <c r="BK38" s="14"/>
      <c r="BL38" s="14"/>
      <c r="BM38" s="14"/>
      <c r="BN38" s="14"/>
      <c r="BO38" s="14"/>
      <c r="BP38" s="14"/>
      <c r="BQ38" s="14"/>
      <c r="BS38" s="24" t="s">
        <v>54</v>
      </c>
      <c r="BT38" s="25" t="s">
        <v>142</v>
      </c>
      <c r="BU38" s="14"/>
      <c r="BV38" s="14"/>
      <c r="BW38" s="14"/>
      <c r="BX38" s="14"/>
      <c r="BY38" s="14"/>
      <c r="BZ38" s="14"/>
      <c r="CA38" s="14"/>
      <c r="CC38" s="24" t="s">
        <v>54</v>
      </c>
      <c r="CD38" s="25" t="s">
        <v>52</v>
      </c>
      <c r="CE38" s="14"/>
      <c r="CF38" s="14"/>
      <c r="CG38" s="14"/>
      <c r="CH38" s="14"/>
      <c r="CI38" s="14"/>
      <c r="CJ38" s="14"/>
      <c r="CK38" s="14"/>
      <c r="CM38" s="24" t="s">
        <v>54</v>
      </c>
      <c r="CN38" s="25" t="s">
        <v>52</v>
      </c>
      <c r="CO38" s="14"/>
      <c r="CP38" s="14"/>
      <c r="CQ38" s="14"/>
      <c r="CR38" s="14"/>
      <c r="CS38" s="14"/>
      <c r="CT38" s="14"/>
      <c r="CU38" s="14"/>
      <c r="XEZ38" s="29" t="s">
        <v>50</v>
      </c>
    </row>
    <row r="39" spans="1:99 16380:16384" ht="18" customHeight="1" x14ac:dyDescent="0.35">
      <c r="A39" s="24" t="s">
        <v>56</v>
      </c>
      <c r="B39" s="25" t="s">
        <v>57</v>
      </c>
      <c r="C39" s="14"/>
      <c r="D39" s="14"/>
      <c r="E39" s="14"/>
      <c r="F39" s="14"/>
      <c r="G39" s="14"/>
      <c r="H39" s="14"/>
      <c r="I39" s="14"/>
      <c r="K39" s="24" t="s">
        <v>55</v>
      </c>
      <c r="L39" s="25" t="s">
        <v>52</v>
      </c>
      <c r="M39" s="14"/>
      <c r="N39" s="14"/>
      <c r="O39" s="14"/>
      <c r="P39" s="14"/>
      <c r="Q39" s="14"/>
      <c r="R39" s="14"/>
      <c r="S39" s="14"/>
      <c r="U39" s="24" t="s">
        <v>55</v>
      </c>
      <c r="V39" s="25" t="s">
        <v>52</v>
      </c>
      <c r="W39" s="14"/>
      <c r="X39" s="14"/>
      <c r="Y39" s="14"/>
      <c r="Z39" s="14"/>
      <c r="AA39" s="14"/>
      <c r="AB39" s="14"/>
      <c r="AC39" s="14"/>
      <c r="AE39" s="24" t="s">
        <v>55</v>
      </c>
      <c r="AF39" s="25" t="s">
        <v>52</v>
      </c>
      <c r="AG39" s="14"/>
      <c r="AH39" s="14"/>
      <c r="AI39" s="14"/>
      <c r="AJ39" s="14"/>
      <c r="AK39" s="14"/>
      <c r="AL39" s="14"/>
      <c r="AM39" s="14"/>
      <c r="AO39" s="24" t="s">
        <v>55</v>
      </c>
      <c r="AP39" s="25" t="s">
        <v>52</v>
      </c>
      <c r="AQ39" s="14"/>
      <c r="AR39" s="14"/>
      <c r="AS39" s="14"/>
      <c r="AT39" s="14"/>
      <c r="AU39" s="14"/>
      <c r="AV39" s="14"/>
      <c r="AW39" s="14"/>
      <c r="AY39" s="24" t="s">
        <v>55</v>
      </c>
      <c r="AZ39" s="25" t="s">
        <v>52</v>
      </c>
      <c r="BA39" s="14"/>
      <c r="BB39" s="14"/>
      <c r="BC39" s="14"/>
      <c r="BD39" s="14"/>
      <c r="BE39" s="14"/>
      <c r="BF39" s="14"/>
      <c r="BG39" s="14"/>
      <c r="BI39" s="24" t="s">
        <v>55</v>
      </c>
      <c r="BJ39" s="25" t="s">
        <v>52</v>
      </c>
      <c r="BK39" s="14"/>
      <c r="BL39" s="14"/>
      <c r="BM39" s="14"/>
      <c r="BN39" s="14"/>
      <c r="BO39" s="14"/>
      <c r="BP39" s="14"/>
      <c r="BQ39" s="14"/>
      <c r="BS39" s="24" t="s">
        <v>55</v>
      </c>
      <c r="BT39" s="25" t="s">
        <v>52</v>
      </c>
      <c r="BU39" s="14"/>
      <c r="BV39" s="14"/>
      <c r="BW39" s="14"/>
      <c r="BX39" s="14"/>
      <c r="BY39" s="14"/>
      <c r="BZ39" s="14"/>
      <c r="CA39" s="14"/>
      <c r="CC39" s="24" t="s">
        <v>55</v>
      </c>
      <c r="CD39" s="25" t="s">
        <v>52</v>
      </c>
      <c r="CE39" s="14"/>
      <c r="CF39" s="14"/>
      <c r="CG39" s="14"/>
      <c r="CH39" s="14"/>
      <c r="CI39" s="14"/>
      <c r="CJ39" s="14"/>
      <c r="CK39" s="14"/>
      <c r="CM39" s="24" t="s">
        <v>55</v>
      </c>
      <c r="CN39" s="25" t="s">
        <v>52</v>
      </c>
      <c r="CO39" s="14"/>
      <c r="CP39" s="14"/>
      <c r="CQ39" s="14"/>
      <c r="CR39" s="14"/>
      <c r="CS39" s="14"/>
      <c r="CT39" s="14"/>
      <c r="CU39" s="14"/>
      <c r="XEZ39" s="30" t="s">
        <v>51</v>
      </c>
    </row>
    <row r="40" spans="1:99 16380:16384" ht="36" x14ac:dyDescent="0.35">
      <c r="A40" s="24" t="s">
        <v>58</v>
      </c>
      <c r="B40" s="26">
        <v>3.1399999999999997E-2</v>
      </c>
      <c r="C40" s="16"/>
      <c r="D40" s="17"/>
      <c r="E40" s="14"/>
      <c r="F40" s="14"/>
      <c r="G40" s="14"/>
      <c r="H40" s="14"/>
      <c r="I40" s="14"/>
      <c r="K40" s="24" t="s">
        <v>56</v>
      </c>
      <c r="L40" s="26" t="s">
        <v>57</v>
      </c>
      <c r="M40" s="16"/>
      <c r="N40" s="17"/>
      <c r="O40" s="14"/>
      <c r="P40" s="14"/>
      <c r="Q40" s="14"/>
      <c r="R40" s="14"/>
      <c r="S40" s="14"/>
      <c r="U40" s="24" t="s">
        <v>221</v>
      </c>
      <c r="V40" s="26" t="s">
        <v>222</v>
      </c>
      <c r="W40" s="16"/>
      <c r="X40" s="17"/>
      <c r="Y40" s="14"/>
      <c r="Z40" s="14"/>
      <c r="AA40" s="14"/>
      <c r="AB40" s="14"/>
      <c r="AC40" s="14"/>
      <c r="AE40" s="24" t="s">
        <v>221</v>
      </c>
      <c r="AF40" s="26" t="s">
        <v>287</v>
      </c>
      <c r="AG40" s="16"/>
      <c r="AH40" s="17"/>
      <c r="AI40" s="14"/>
      <c r="AJ40" s="14"/>
      <c r="AK40" s="14"/>
      <c r="AL40" s="14"/>
      <c r="AM40" s="14"/>
      <c r="AO40" s="24" t="s">
        <v>221</v>
      </c>
      <c r="AP40" s="26" t="s">
        <v>339</v>
      </c>
      <c r="AQ40" s="16"/>
      <c r="AR40" s="17"/>
      <c r="AS40" s="14"/>
      <c r="AT40" s="14"/>
      <c r="AU40" s="14"/>
      <c r="AV40" s="14"/>
      <c r="AW40" s="14"/>
      <c r="AY40" s="24" t="s">
        <v>56</v>
      </c>
      <c r="AZ40" s="26" t="s">
        <v>385</v>
      </c>
      <c r="BA40" s="16"/>
      <c r="BB40" s="17"/>
      <c r="BC40" s="14"/>
      <c r="BD40" s="14"/>
      <c r="BE40" s="14"/>
      <c r="BF40" s="14"/>
      <c r="BG40" s="14"/>
      <c r="BI40" s="24" t="s">
        <v>56</v>
      </c>
      <c r="BJ40" s="26" t="s">
        <v>417</v>
      </c>
      <c r="BK40" s="16"/>
      <c r="BL40" s="17"/>
      <c r="BM40" s="14"/>
      <c r="BN40" s="14"/>
      <c r="BO40" s="14"/>
      <c r="BP40" s="14"/>
      <c r="BQ40" s="14"/>
      <c r="BS40" s="24" t="s">
        <v>56</v>
      </c>
      <c r="BT40" s="26" t="s">
        <v>464</v>
      </c>
      <c r="BU40" s="16"/>
      <c r="BV40" s="17"/>
      <c r="BW40" s="14"/>
      <c r="BX40" s="14"/>
      <c r="BY40" s="14"/>
      <c r="BZ40" s="14"/>
      <c r="CA40" s="14"/>
      <c r="CC40" s="24" t="s">
        <v>507</v>
      </c>
      <c r="CD40" s="26" t="s">
        <v>508</v>
      </c>
      <c r="CE40" s="16"/>
      <c r="CF40" s="17"/>
      <c r="CG40" s="14"/>
      <c r="CH40" s="14"/>
      <c r="CI40" s="14"/>
      <c r="CJ40" s="14"/>
      <c r="CK40" s="14"/>
      <c r="CM40" s="24" t="s">
        <v>56</v>
      </c>
      <c r="CN40" s="26" t="s">
        <v>550</v>
      </c>
      <c r="CO40" s="16"/>
      <c r="CP40" s="17"/>
      <c r="CQ40" s="14"/>
      <c r="CR40" s="14"/>
      <c r="CS40" s="14"/>
      <c r="CT40" s="14"/>
      <c r="CU40" s="14"/>
      <c r="XEZ40" s="29" t="s">
        <v>52</v>
      </c>
    </row>
    <row r="41" spans="1:99 16380:16384" ht="15.65" customHeight="1" x14ac:dyDescent="0.35">
      <c r="A41" s="56" t="s">
        <v>59</v>
      </c>
      <c r="B41" s="57"/>
      <c r="C41" s="16"/>
      <c r="D41" s="17"/>
      <c r="E41" s="14"/>
      <c r="F41" s="14"/>
      <c r="G41" s="14"/>
      <c r="H41" s="14"/>
      <c r="I41" s="14"/>
      <c r="K41" s="56" t="s">
        <v>58</v>
      </c>
      <c r="L41" s="57">
        <v>3.1399999999999997E-2</v>
      </c>
      <c r="M41" s="16"/>
      <c r="N41" s="17"/>
      <c r="O41" s="14"/>
      <c r="P41" s="14"/>
      <c r="Q41" s="14"/>
      <c r="R41" s="14"/>
      <c r="S41" s="14"/>
      <c r="U41" s="56" t="s">
        <v>58</v>
      </c>
      <c r="V41" s="57" t="s">
        <v>223</v>
      </c>
      <c r="W41" s="16"/>
      <c r="X41" s="17"/>
      <c r="Y41" s="14"/>
      <c r="Z41" s="14"/>
      <c r="AA41" s="14"/>
      <c r="AB41" s="14"/>
      <c r="AC41" s="14"/>
      <c r="AE41" s="56" t="s">
        <v>58</v>
      </c>
      <c r="AF41" s="57" t="s">
        <v>288</v>
      </c>
      <c r="AG41" s="16"/>
      <c r="AH41" s="17"/>
      <c r="AI41" s="14"/>
      <c r="AJ41" s="14"/>
      <c r="AK41" s="14"/>
      <c r="AL41" s="14"/>
      <c r="AM41" s="14"/>
      <c r="AO41" s="56" t="s">
        <v>58</v>
      </c>
      <c r="AP41" s="57" t="s">
        <v>340</v>
      </c>
      <c r="AQ41" s="16"/>
      <c r="AR41" s="17"/>
      <c r="AS41" s="14"/>
      <c r="AT41" s="14"/>
      <c r="AU41" s="14"/>
      <c r="AV41" s="14"/>
      <c r="AW41" s="14"/>
      <c r="AY41" s="56" t="s">
        <v>58</v>
      </c>
      <c r="AZ41" s="57" t="s">
        <v>386</v>
      </c>
      <c r="BA41" s="16"/>
      <c r="BB41" s="17"/>
      <c r="BC41" s="14"/>
      <c r="BD41" s="14"/>
      <c r="BE41" s="14"/>
      <c r="BF41" s="14"/>
      <c r="BG41" s="14"/>
      <c r="BI41" s="56" t="s">
        <v>58</v>
      </c>
      <c r="BJ41" s="57" t="s">
        <v>418</v>
      </c>
      <c r="BK41" s="16"/>
      <c r="BL41" s="17"/>
      <c r="BM41" s="14"/>
      <c r="BN41" s="14"/>
      <c r="BO41" s="14"/>
      <c r="BP41" s="14"/>
      <c r="BQ41" s="14"/>
      <c r="BS41" s="56" t="s">
        <v>58</v>
      </c>
      <c r="BT41" s="57" t="s">
        <v>465</v>
      </c>
      <c r="BU41" s="16"/>
      <c r="BV41" s="17"/>
      <c r="BW41" s="14"/>
      <c r="BX41" s="14"/>
      <c r="BY41" s="14"/>
      <c r="BZ41" s="14"/>
      <c r="CA41" s="14"/>
      <c r="CC41" s="56" t="s">
        <v>58</v>
      </c>
      <c r="CD41" s="57" t="s">
        <v>509</v>
      </c>
      <c r="CE41" s="16"/>
      <c r="CF41" s="17"/>
      <c r="CG41" s="14"/>
      <c r="CH41" s="14"/>
      <c r="CI41" s="14"/>
      <c r="CJ41" s="14"/>
      <c r="CK41" s="14"/>
      <c r="CM41" s="56" t="s">
        <v>58</v>
      </c>
      <c r="CN41" s="57" t="s">
        <v>551</v>
      </c>
      <c r="CO41" s="16"/>
      <c r="CP41" s="17"/>
      <c r="CQ41" s="14"/>
      <c r="CR41" s="14"/>
      <c r="CS41" s="14"/>
      <c r="CT41" s="14"/>
      <c r="CU41" s="14"/>
      <c r="XEZ41" s="30" t="s">
        <v>140</v>
      </c>
    </row>
    <row r="42" spans="1:99 16380:16384" ht="27" x14ac:dyDescent="0.35">
      <c r="A42" s="24" t="s">
        <v>60</v>
      </c>
      <c r="B42" s="27">
        <v>0.03</v>
      </c>
      <c r="C42" s="16"/>
      <c r="D42" s="17"/>
      <c r="E42" s="14"/>
      <c r="F42" s="14"/>
      <c r="G42" s="14"/>
      <c r="H42" s="14"/>
      <c r="I42" s="14"/>
      <c r="K42" s="24" t="s">
        <v>59</v>
      </c>
      <c r="L42" s="27"/>
      <c r="M42" s="16"/>
      <c r="N42" s="17"/>
      <c r="O42" s="14"/>
      <c r="P42" s="14"/>
      <c r="Q42" s="14"/>
      <c r="R42" s="14"/>
      <c r="S42" s="14"/>
      <c r="U42" s="24" t="s">
        <v>59</v>
      </c>
      <c r="V42" s="27"/>
      <c r="W42" s="16"/>
      <c r="X42" s="17"/>
      <c r="Y42" s="14"/>
      <c r="Z42" s="14"/>
      <c r="AA42" s="14"/>
      <c r="AB42" s="14"/>
      <c r="AC42" s="14"/>
      <c r="AE42" s="24" t="s">
        <v>59</v>
      </c>
      <c r="AF42" s="27"/>
      <c r="AG42" s="16"/>
      <c r="AH42" s="17"/>
      <c r="AI42" s="14"/>
      <c r="AJ42" s="14"/>
      <c r="AK42" s="14"/>
      <c r="AL42" s="14"/>
      <c r="AM42" s="14"/>
      <c r="AO42" s="24" t="s">
        <v>59</v>
      </c>
      <c r="AP42" s="27"/>
      <c r="AQ42" s="16"/>
      <c r="AR42" s="17"/>
      <c r="AS42" s="14"/>
      <c r="AT42" s="14"/>
      <c r="AU42" s="14"/>
      <c r="AV42" s="14"/>
      <c r="AW42" s="14"/>
      <c r="AY42" s="24" t="s">
        <v>59</v>
      </c>
      <c r="AZ42" s="27"/>
      <c r="BA42" s="16"/>
      <c r="BB42" s="17"/>
      <c r="BC42" s="14"/>
      <c r="BD42" s="14"/>
      <c r="BE42" s="14"/>
      <c r="BF42" s="14"/>
      <c r="BG42" s="14"/>
      <c r="BI42" s="24" t="s">
        <v>59</v>
      </c>
      <c r="BJ42" s="27"/>
      <c r="BK42" s="16"/>
      <c r="BL42" s="17"/>
      <c r="BM42" s="14"/>
      <c r="BN42" s="14"/>
      <c r="BO42" s="14"/>
      <c r="BP42" s="14"/>
      <c r="BQ42" s="14"/>
      <c r="BS42" s="24" t="s">
        <v>59</v>
      </c>
      <c r="BT42" s="27"/>
      <c r="BU42" s="16"/>
      <c r="BV42" s="17"/>
      <c r="BW42" s="14"/>
      <c r="BX42" s="14"/>
      <c r="BY42" s="14"/>
      <c r="BZ42" s="14"/>
      <c r="CA42" s="14"/>
      <c r="CC42" s="24" t="s">
        <v>59</v>
      </c>
      <c r="CD42" s="27"/>
      <c r="CE42" s="16"/>
      <c r="CF42" s="17"/>
      <c r="CG42" s="14"/>
      <c r="CH42" s="14"/>
      <c r="CI42" s="14"/>
      <c r="CJ42" s="14"/>
      <c r="CK42" s="14"/>
      <c r="CM42" s="24" t="s">
        <v>59</v>
      </c>
      <c r="CN42" s="27"/>
      <c r="CO42" s="16"/>
      <c r="CP42" s="17"/>
      <c r="CQ42" s="14"/>
      <c r="CR42" s="14"/>
      <c r="CS42" s="14"/>
      <c r="CT42" s="14"/>
      <c r="CU42" s="14"/>
      <c r="XEZ42" s="29" t="s">
        <v>52</v>
      </c>
    </row>
    <row r="43" spans="1:99 16380:16384" ht="18" x14ac:dyDescent="0.35">
      <c r="A43" s="24" t="s">
        <v>61</v>
      </c>
      <c r="B43" s="27">
        <v>0.03</v>
      </c>
      <c r="C43" s="16"/>
      <c r="D43" s="17"/>
      <c r="E43" s="14"/>
      <c r="F43" s="14"/>
      <c r="G43" s="14"/>
      <c r="H43" s="14"/>
      <c r="I43" s="14"/>
      <c r="K43" s="24" t="s">
        <v>60</v>
      </c>
      <c r="L43" s="27">
        <v>0.03</v>
      </c>
      <c r="M43" s="16"/>
      <c r="N43" s="17"/>
      <c r="O43" s="14"/>
      <c r="P43" s="14"/>
      <c r="Q43" s="14"/>
      <c r="R43" s="14"/>
      <c r="S43" s="14"/>
      <c r="U43" s="24" t="s">
        <v>60</v>
      </c>
      <c r="V43" s="27" t="s">
        <v>224</v>
      </c>
      <c r="W43" s="16"/>
      <c r="X43" s="17"/>
      <c r="Y43" s="14"/>
      <c r="Z43" s="14"/>
      <c r="AA43" s="14"/>
      <c r="AB43" s="14"/>
      <c r="AC43" s="14"/>
      <c r="AE43" s="24" t="s">
        <v>60</v>
      </c>
      <c r="AF43" s="27">
        <v>0.01</v>
      </c>
      <c r="AG43" s="16"/>
      <c r="AH43" s="17"/>
      <c r="AI43" s="14"/>
      <c r="AJ43" s="14"/>
      <c r="AK43" s="14"/>
      <c r="AL43" s="14"/>
      <c r="AM43" s="14"/>
      <c r="AO43" s="24" t="s">
        <v>60</v>
      </c>
      <c r="AP43" s="27">
        <v>0.02</v>
      </c>
      <c r="AQ43" s="16"/>
      <c r="AR43" s="17"/>
      <c r="AS43" s="14"/>
      <c r="AT43" s="14"/>
      <c r="AU43" s="14"/>
      <c r="AV43" s="14"/>
      <c r="AW43" s="14"/>
      <c r="AY43" s="24" t="s">
        <v>60</v>
      </c>
      <c r="AZ43" s="27">
        <v>0</v>
      </c>
      <c r="BA43" s="16"/>
      <c r="BB43" s="17"/>
      <c r="BC43" s="14"/>
      <c r="BD43" s="14"/>
      <c r="BE43" s="14"/>
      <c r="BF43" s="14"/>
      <c r="BG43" s="14"/>
      <c r="BI43" s="24" t="s">
        <v>60</v>
      </c>
      <c r="BJ43" s="27">
        <v>0.03</v>
      </c>
      <c r="BK43" s="16"/>
      <c r="BL43" s="17"/>
      <c r="BM43" s="14"/>
      <c r="BN43" s="14"/>
      <c r="BO43" s="14"/>
      <c r="BP43" s="14"/>
      <c r="BQ43" s="14"/>
      <c r="BS43" s="24" t="s">
        <v>60</v>
      </c>
      <c r="BT43" s="27">
        <v>0.01</v>
      </c>
      <c r="BU43" s="16"/>
      <c r="BV43" s="17"/>
      <c r="BW43" s="14"/>
      <c r="BX43" s="14"/>
      <c r="BY43" s="14"/>
      <c r="BZ43" s="14"/>
      <c r="CA43" s="14"/>
      <c r="CC43" s="24" t="s">
        <v>60</v>
      </c>
      <c r="CD43" s="27">
        <v>0.05</v>
      </c>
      <c r="CE43" s="16"/>
      <c r="CF43" s="17"/>
      <c r="CG43" s="14"/>
      <c r="CH43" s="14"/>
      <c r="CI43" s="14"/>
      <c r="CJ43" s="14"/>
      <c r="CK43" s="14"/>
      <c r="CM43" s="24" t="s">
        <v>60</v>
      </c>
      <c r="CN43" s="27">
        <v>0</v>
      </c>
      <c r="CO43" s="16"/>
      <c r="CP43" s="17"/>
      <c r="CQ43" s="14"/>
      <c r="CR43" s="14"/>
      <c r="CS43" s="14"/>
      <c r="CT43" s="14"/>
      <c r="CU43" s="14"/>
      <c r="XEZ43" s="30" t="s">
        <v>141</v>
      </c>
    </row>
    <row r="44" spans="1:99 16380:16384" ht="27" x14ac:dyDescent="0.35">
      <c r="A44" s="24" t="s">
        <v>62</v>
      </c>
      <c r="B44" s="26">
        <v>5.0000000000000001E-3</v>
      </c>
      <c r="C44" s="16"/>
      <c r="D44" s="17"/>
      <c r="E44" s="14"/>
      <c r="F44" s="14"/>
      <c r="G44" s="14"/>
      <c r="H44" s="14"/>
      <c r="I44" s="14"/>
      <c r="K44" s="24" t="s">
        <v>61</v>
      </c>
      <c r="L44" s="26">
        <v>0.03</v>
      </c>
      <c r="M44" s="16"/>
      <c r="N44" s="17"/>
      <c r="O44" s="14"/>
      <c r="P44" s="14"/>
      <c r="Q44" s="14"/>
      <c r="R44" s="14"/>
      <c r="S44" s="14"/>
      <c r="U44" s="24" t="s">
        <v>61</v>
      </c>
      <c r="V44" s="26">
        <v>0</v>
      </c>
      <c r="W44" s="16"/>
      <c r="X44" s="17"/>
      <c r="Y44" s="14"/>
      <c r="Z44" s="14"/>
      <c r="AA44" s="14"/>
      <c r="AB44" s="14"/>
      <c r="AC44" s="14"/>
      <c r="AE44" s="24" t="s">
        <v>61</v>
      </c>
      <c r="AF44" s="26">
        <v>0</v>
      </c>
      <c r="AG44" s="16"/>
      <c r="AH44" s="17"/>
      <c r="AI44" s="14"/>
      <c r="AJ44" s="14"/>
      <c r="AK44" s="14"/>
      <c r="AL44" s="14"/>
      <c r="AM44" s="14"/>
      <c r="AO44" s="24" t="s">
        <v>61</v>
      </c>
      <c r="AP44" s="26">
        <v>0.01</v>
      </c>
      <c r="AQ44" s="16"/>
      <c r="AR44" s="17"/>
      <c r="AS44" s="14"/>
      <c r="AT44" s="14"/>
      <c r="AU44" s="14"/>
      <c r="AV44" s="14"/>
      <c r="AW44" s="14"/>
      <c r="AY44" s="24" t="s">
        <v>61</v>
      </c>
      <c r="AZ44" s="26">
        <v>0</v>
      </c>
      <c r="BA44" s="16"/>
      <c r="BB44" s="17"/>
      <c r="BC44" s="14"/>
      <c r="BD44" s="14"/>
      <c r="BE44" s="14"/>
      <c r="BF44" s="14"/>
      <c r="BG44" s="14"/>
      <c r="BI44" s="24" t="s">
        <v>61</v>
      </c>
      <c r="BJ44" s="26">
        <v>0</v>
      </c>
      <c r="BK44" s="16"/>
      <c r="BL44" s="17"/>
      <c r="BM44" s="14"/>
      <c r="BN44" s="14"/>
      <c r="BO44" s="14"/>
      <c r="BP44" s="14"/>
      <c r="BQ44" s="14"/>
      <c r="BS44" s="24" t="s">
        <v>61</v>
      </c>
      <c r="BT44" s="26">
        <v>0.01</v>
      </c>
      <c r="BU44" s="16"/>
      <c r="BV44" s="17"/>
      <c r="BW44" s="14"/>
      <c r="BX44" s="14"/>
      <c r="BY44" s="14"/>
      <c r="BZ44" s="14"/>
      <c r="CA44" s="14"/>
      <c r="CC44" s="24" t="s">
        <v>61</v>
      </c>
      <c r="CD44" s="26">
        <v>0</v>
      </c>
      <c r="CE44" s="16"/>
      <c r="CF44" s="17"/>
      <c r="CG44" s="14"/>
      <c r="CH44" s="14"/>
      <c r="CI44" s="14"/>
      <c r="CJ44" s="14"/>
      <c r="CK44" s="14"/>
      <c r="CM44" s="24" t="s">
        <v>61</v>
      </c>
      <c r="CN44" s="26">
        <v>0.01</v>
      </c>
      <c r="CO44" s="16"/>
      <c r="CP44" s="17"/>
      <c r="CQ44" s="14"/>
      <c r="CR44" s="14"/>
      <c r="CS44" s="14"/>
      <c r="CT44" s="14"/>
      <c r="CU44" s="14"/>
      <c r="XEZ44" s="29" t="s">
        <v>142</v>
      </c>
    </row>
    <row r="45" spans="1:99 16380:16384" x14ac:dyDescent="0.35">
      <c r="A45" s="24" t="s">
        <v>63</v>
      </c>
      <c r="B45" s="25" t="s">
        <v>64</v>
      </c>
      <c r="C45" s="14"/>
      <c r="D45" s="14"/>
      <c r="E45" s="14"/>
      <c r="F45" s="14"/>
      <c r="G45" s="14"/>
      <c r="H45" s="14"/>
      <c r="I45" s="14"/>
      <c r="K45" s="24" t="s">
        <v>62</v>
      </c>
      <c r="L45" s="25">
        <v>5.0000000000000001E-3</v>
      </c>
      <c r="M45" s="14"/>
      <c r="N45" s="14"/>
      <c r="O45" s="14"/>
      <c r="P45" s="14"/>
      <c r="Q45" s="14"/>
      <c r="R45" s="14"/>
      <c r="S45" s="14"/>
      <c r="U45" s="24" t="s">
        <v>62</v>
      </c>
      <c r="V45" s="25" t="s">
        <v>225</v>
      </c>
      <c r="W45" s="14"/>
      <c r="X45" s="14"/>
      <c r="Y45" s="14"/>
      <c r="Z45" s="14"/>
      <c r="AA45" s="14"/>
      <c r="AB45" s="14"/>
      <c r="AC45" s="14"/>
      <c r="AE45" s="24" t="s">
        <v>62</v>
      </c>
      <c r="AF45" s="25">
        <v>0.02</v>
      </c>
      <c r="AG45" s="14"/>
      <c r="AH45" s="14"/>
      <c r="AI45" s="14"/>
      <c r="AJ45" s="14"/>
      <c r="AK45" s="14"/>
      <c r="AL45" s="14"/>
      <c r="AM45" s="14"/>
      <c r="AO45" s="24" t="s">
        <v>62</v>
      </c>
      <c r="AP45" s="25" t="s">
        <v>341</v>
      </c>
      <c r="AQ45" s="14"/>
      <c r="AR45" s="14"/>
      <c r="AS45" s="14"/>
      <c r="AT45" s="14"/>
      <c r="AU45" s="14"/>
      <c r="AV45" s="14"/>
      <c r="AW45" s="14"/>
      <c r="AY45" s="24" t="s">
        <v>62</v>
      </c>
      <c r="AZ45" s="25">
        <v>0.02</v>
      </c>
      <c r="BA45" s="14"/>
      <c r="BB45" s="14"/>
      <c r="BC45" s="14"/>
      <c r="BD45" s="14"/>
      <c r="BE45" s="14"/>
      <c r="BF45" s="14"/>
      <c r="BG45" s="14"/>
      <c r="BI45" s="24" t="s">
        <v>62</v>
      </c>
      <c r="BJ45" s="25">
        <v>0.01</v>
      </c>
      <c r="BK45" s="14"/>
      <c r="BL45" s="14"/>
      <c r="BM45" s="14"/>
      <c r="BN45" s="14"/>
      <c r="BO45" s="14"/>
      <c r="BP45" s="14"/>
      <c r="BQ45" s="14"/>
      <c r="BS45" s="24" t="s">
        <v>62</v>
      </c>
      <c r="BT45" s="25" t="s">
        <v>466</v>
      </c>
      <c r="BU45" s="14"/>
      <c r="BV45" s="14"/>
      <c r="BW45" s="14"/>
      <c r="BX45" s="14"/>
      <c r="BY45" s="14"/>
      <c r="BZ45" s="14"/>
      <c r="CA45" s="14"/>
      <c r="CC45" s="24" t="s">
        <v>62</v>
      </c>
      <c r="CD45" s="25" t="s">
        <v>510</v>
      </c>
      <c r="CE45" s="14"/>
      <c r="CF45" s="14"/>
      <c r="CG45" s="14"/>
      <c r="CH45" s="14"/>
      <c r="CI45" s="14"/>
      <c r="CJ45" s="14"/>
      <c r="CK45" s="14"/>
      <c r="CM45" s="24" t="s">
        <v>62</v>
      </c>
      <c r="CN45" s="25" t="s">
        <v>510</v>
      </c>
      <c r="CO45" s="14"/>
      <c r="CP45" s="14"/>
      <c r="CQ45" s="14"/>
      <c r="CR45" s="14"/>
      <c r="CS45" s="14"/>
      <c r="CT45" s="14"/>
      <c r="CU45" s="14"/>
      <c r="XFD45" s="30" t="s">
        <v>143</v>
      </c>
    </row>
    <row r="46" spans="1:99 16380:16384" ht="27" x14ac:dyDescent="0.35">
      <c r="A46" s="24" t="s">
        <v>65</v>
      </c>
      <c r="B46" s="26">
        <v>1.43E-2</v>
      </c>
      <c r="C46" s="14"/>
      <c r="D46" s="14"/>
      <c r="E46" s="14"/>
      <c r="F46" s="14"/>
      <c r="G46" s="14"/>
      <c r="H46" s="14"/>
      <c r="I46" s="14"/>
      <c r="K46" s="24" t="s">
        <v>63</v>
      </c>
      <c r="L46" s="26" t="s">
        <v>64</v>
      </c>
      <c r="M46" s="14"/>
      <c r="N46" s="14"/>
      <c r="O46" s="14"/>
      <c r="P46" s="14"/>
      <c r="Q46" s="14"/>
      <c r="R46" s="14"/>
      <c r="S46" s="14"/>
      <c r="U46" s="24" t="s">
        <v>63</v>
      </c>
      <c r="V46" s="26" t="s">
        <v>64</v>
      </c>
      <c r="W46" s="14"/>
      <c r="X46" s="14"/>
      <c r="Y46" s="14"/>
      <c r="Z46" s="14"/>
      <c r="AA46" s="14"/>
      <c r="AB46" s="14"/>
      <c r="AC46" s="14"/>
      <c r="AE46" s="24" t="s">
        <v>63</v>
      </c>
      <c r="AF46" s="26" t="s">
        <v>64</v>
      </c>
      <c r="AG46" s="14"/>
      <c r="AH46" s="14"/>
      <c r="AI46" s="14"/>
      <c r="AJ46" s="14"/>
      <c r="AK46" s="14"/>
      <c r="AL46" s="14"/>
      <c r="AM46" s="14"/>
      <c r="AO46" s="24" t="s">
        <v>63</v>
      </c>
      <c r="AP46" s="26" t="s">
        <v>142</v>
      </c>
      <c r="AQ46" s="14"/>
      <c r="AR46" s="14"/>
      <c r="AS46" s="14"/>
      <c r="AT46" s="14"/>
      <c r="AU46" s="14"/>
      <c r="AV46" s="14"/>
      <c r="AW46" s="14"/>
      <c r="AY46" s="24" t="s">
        <v>63</v>
      </c>
      <c r="AZ46" s="26" t="s">
        <v>64</v>
      </c>
      <c r="BA46" s="14"/>
      <c r="BB46" s="14"/>
      <c r="BC46" s="14"/>
      <c r="BD46" s="14"/>
      <c r="BE46" s="14"/>
      <c r="BF46" s="14"/>
      <c r="BG46" s="14"/>
      <c r="BI46" s="24" t="s">
        <v>63</v>
      </c>
      <c r="BJ46" s="26" t="s">
        <v>142</v>
      </c>
      <c r="BK46" s="14"/>
      <c r="BL46" s="14"/>
      <c r="BM46" s="14"/>
      <c r="BN46" s="14"/>
      <c r="BO46" s="14"/>
      <c r="BP46" s="14"/>
      <c r="BQ46" s="14"/>
      <c r="BS46" s="24" t="s">
        <v>63</v>
      </c>
      <c r="BT46" s="26" t="s">
        <v>64</v>
      </c>
      <c r="BU46" s="14"/>
      <c r="BV46" s="14"/>
      <c r="BW46" s="14"/>
      <c r="BX46" s="14"/>
      <c r="BY46" s="14"/>
      <c r="BZ46" s="14"/>
      <c r="CA46" s="14"/>
      <c r="CC46" s="24" t="s">
        <v>63</v>
      </c>
      <c r="CD46" s="26" t="s">
        <v>64</v>
      </c>
      <c r="CE46" s="14"/>
      <c r="CF46" s="14"/>
      <c r="CG46" s="14"/>
      <c r="CH46" s="14"/>
      <c r="CI46" s="14"/>
      <c r="CJ46" s="14"/>
      <c r="CK46" s="14"/>
      <c r="CM46" s="24" t="s">
        <v>63</v>
      </c>
      <c r="CN46" s="26" t="s">
        <v>64</v>
      </c>
      <c r="CO46" s="14"/>
      <c r="CP46" s="14"/>
      <c r="CQ46" s="14"/>
      <c r="CR46" s="14"/>
      <c r="CS46" s="14"/>
      <c r="CT46" s="14"/>
      <c r="CU46" s="14"/>
      <c r="XFD46" s="29" t="s">
        <v>52</v>
      </c>
    </row>
    <row r="47" spans="1:99 16380:16384" x14ac:dyDescent="0.35">
      <c r="A47" s="46"/>
      <c r="B47" s="47"/>
      <c r="C47" s="14"/>
      <c r="D47" s="14"/>
      <c r="E47" s="14"/>
      <c r="F47" s="14"/>
      <c r="G47" s="14"/>
      <c r="H47" s="14"/>
      <c r="I47" s="14"/>
      <c r="K47" s="46" t="s">
        <v>65</v>
      </c>
      <c r="L47" s="47">
        <v>1.43E-2</v>
      </c>
      <c r="M47" s="14"/>
      <c r="N47" s="14"/>
      <c r="O47" s="14"/>
      <c r="P47" s="14"/>
      <c r="Q47" s="14"/>
      <c r="R47" s="14"/>
      <c r="S47" s="14"/>
      <c r="U47" s="46" t="s">
        <v>65</v>
      </c>
      <c r="V47" s="47" t="s">
        <v>226</v>
      </c>
      <c r="W47" s="14"/>
      <c r="X47" s="14"/>
      <c r="Y47" s="14"/>
      <c r="Z47" s="14"/>
      <c r="AA47" s="14"/>
      <c r="AB47" s="14"/>
      <c r="AC47" s="14"/>
      <c r="AE47" s="46" t="s">
        <v>65</v>
      </c>
      <c r="AF47" s="47" t="s">
        <v>289</v>
      </c>
      <c r="AG47" s="14"/>
      <c r="AH47" s="14"/>
      <c r="AI47" s="14"/>
      <c r="AJ47" s="14"/>
      <c r="AK47" s="14"/>
      <c r="AL47" s="14"/>
      <c r="AM47" s="14"/>
      <c r="AO47" s="46" t="s">
        <v>65</v>
      </c>
      <c r="AP47" s="47" t="s">
        <v>342</v>
      </c>
      <c r="AQ47" s="14"/>
      <c r="AR47" s="14"/>
      <c r="AS47" s="14"/>
      <c r="AT47" s="14"/>
      <c r="AU47" s="14"/>
      <c r="AV47" s="14"/>
      <c r="AW47" s="14"/>
      <c r="AY47" s="46" t="s">
        <v>65</v>
      </c>
      <c r="AZ47" s="47" t="s">
        <v>387</v>
      </c>
      <c r="BA47" s="14"/>
      <c r="BB47" s="14"/>
      <c r="BC47" s="14"/>
      <c r="BD47" s="14"/>
      <c r="BE47" s="14"/>
      <c r="BF47" s="14"/>
      <c r="BG47" s="14"/>
      <c r="BI47" s="46" t="s">
        <v>65</v>
      </c>
      <c r="BJ47" s="47" t="s">
        <v>419</v>
      </c>
      <c r="BK47" s="14"/>
      <c r="BL47" s="14"/>
      <c r="BM47" s="14"/>
      <c r="BN47" s="14"/>
      <c r="BO47" s="14"/>
      <c r="BP47" s="14"/>
      <c r="BQ47" s="14"/>
      <c r="BS47" s="46" t="s">
        <v>65</v>
      </c>
      <c r="BT47" s="47" t="s">
        <v>467</v>
      </c>
      <c r="BU47" s="14"/>
      <c r="BV47" s="14"/>
      <c r="BW47" s="14"/>
      <c r="BX47" s="14"/>
      <c r="BY47" s="14"/>
      <c r="BZ47" s="14"/>
      <c r="CA47" s="14"/>
      <c r="CC47" s="46" t="s">
        <v>65</v>
      </c>
      <c r="CD47" s="47" t="s">
        <v>343</v>
      </c>
      <c r="CE47" s="14"/>
      <c r="CF47" s="14"/>
      <c r="CG47" s="14"/>
      <c r="CH47" s="14"/>
      <c r="CI47" s="14"/>
      <c r="CJ47" s="14"/>
      <c r="CK47" s="14"/>
      <c r="CM47" s="46" t="s">
        <v>65</v>
      </c>
      <c r="CN47" s="47" t="s">
        <v>552</v>
      </c>
      <c r="CO47" s="14"/>
      <c r="CP47" s="14"/>
      <c r="CQ47" s="14"/>
      <c r="CR47" s="14"/>
      <c r="CS47" s="14"/>
      <c r="CT47" s="14"/>
      <c r="CU47" s="14"/>
      <c r="XFD47" s="30" t="s">
        <v>144</v>
      </c>
    </row>
    <row r="48" spans="1:99 16380:16384" ht="27" x14ac:dyDescent="0.35">
      <c r="A48" s="46"/>
      <c r="B48" s="47"/>
      <c r="C48" s="14"/>
      <c r="D48" s="14"/>
      <c r="E48" s="14"/>
      <c r="F48" s="14"/>
      <c r="G48" s="14"/>
      <c r="H48" s="14"/>
      <c r="I48" s="14"/>
      <c r="K48" s="46"/>
      <c r="L48" s="47"/>
      <c r="M48" s="14"/>
      <c r="N48" s="14"/>
      <c r="O48" s="14"/>
      <c r="P48" s="14"/>
      <c r="Q48" s="14"/>
      <c r="R48" s="14"/>
      <c r="S48" s="14"/>
      <c r="U48" s="46"/>
      <c r="V48" s="47"/>
      <c r="W48" s="14"/>
      <c r="X48" s="14"/>
      <c r="Y48" s="14"/>
      <c r="Z48" s="14"/>
      <c r="AA48" s="14"/>
      <c r="AB48" s="14"/>
      <c r="AC48" s="14"/>
      <c r="AE48" s="46"/>
      <c r="AF48" s="47"/>
      <c r="AG48" s="14"/>
      <c r="AH48" s="14"/>
      <c r="AI48" s="14"/>
      <c r="AJ48" s="14"/>
      <c r="AK48" s="14"/>
      <c r="AL48" s="14"/>
      <c r="AM48" s="14"/>
      <c r="AO48" s="46"/>
      <c r="AP48" s="47"/>
      <c r="AQ48" s="14"/>
      <c r="AR48" s="14"/>
      <c r="AS48" s="14"/>
      <c r="AT48" s="14"/>
      <c r="AU48" s="14"/>
      <c r="AV48" s="14"/>
      <c r="AW48" s="14"/>
      <c r="AY48" s="46"/>
      <c r="AZ48" s="47"/>
      <c r="BA48" s="14"/>
      <c r="BB48" s="14"/>
      <c r="BC48" s="14"/>
      <c r="BD48" s="14"/>
      <c r="BE48" s="14"/>
      <c r="BF48" s="14"/>
      <c r="BG48" s="14"/>
      <c r="BI48" s="46"/>
      <c r="BJ48" s="47"/>
      <c r="BK48" s="14"/>
      <c r="BL48" s="14"/>
      <c r="BM48" s="14"/>
      <c r="BN48" s="14"/>
      <c r="BO48" s="14"/>
      <c r="BP48" s="14"/>
      <c r="BQ48" s="14"/>
      <c r="BS48" s="46"/>
      <c r="BT48" s="47"/>
      <c r="BU48" s="14"/>
      <c r="BV48" s="14"/>
      <c r="BW48" s="14"/>
      <c r="BX48" s="14"/>
      <c r="BY48" s="14"/>
      <c r="BZ48" s="14"/>
      <c r="CA48" s="14"/>
      <c r="CC48" s="46"/>
      <c r="CD48" s="47"/>
      <c r="CE48" s="14"/>
      <c r="CF48" s="14"/>
      <c r="CG48" s="14"/>
      <c r="CH48" s="14"/>
      <c r="CI48" s="14"/>
      <c r="CJ48" s="14"/>
      <c r="CK48" s="14"/>
      <c r="CM48" s="46"/>
      <c r="CN48" s="47"/>
      <c r="CO48" s="14"/>
      <c r="CP48" s="14"/>
      <c r="CQ48" s="14"/>
      <c r="CR48" s="14"/>
      <c r="CS48" s="14"/>
      <c r="CT48" s="14"/>
      <c r="CU48" s="14"/>
      <c r="XFD48" s="29" t="s">
        <v>52</v>
      </c>
    </row>
    <row r="49" spans="1:2 16384:16384" x14ac:dyDescent="0.35">
      <c r="A49" s="10"/>
      <c r="B49" s="11"/>
      <c r="XFD49" s="30" t="s">
        <v>145</v>
      </c>
    </row>
    <row r="50" spans="1:2 16384:16384" ht="27" x14ac:dyDescent="0.35">
      <c r="A50" s="10"/>
      <c r="B50" s="11"/>
      <c r="XFD50" s="29" t="s">
        <v>52</v>
      </c>
    </row>
    <row r="51" spans="1:2 16384:16384" x14ac:dyDescent="0.35">
      <c r="A51" s="10"/>
      <c r="B51" s="11"/>
      <c r="XFD51" s="30" t="s">
        <v>146</v>
      </c>
    </row>
    <row r="52" spans="1:2 16384:16384" ht="27" x14ac:dyDescent="0.35">
      <c r="A52" s="10"/>
      <c r="B52" s="11"/>
      <c r="XFD52" s="29" t="s">
        <v>52</v>
      </c>
    </row>
    <row r="53" spans="1:2 16384:16384" x14ac:dyDescent="0.35">
      <c r="A53" s="10"/>
      <c r="B53" s="12"/>
      <c r="XFD53" s="30" t="s">
        <v>147</v>
      </c>
    </row>
    <row r="54" spans="1:2 16384:16384" ht="27" x14ac:dyDescent="0.35">
      <c r="A54" s="75"/>
      <c r="B54" s="75"/>
      <c r="XFD54" s="29" t="s">
        <v>52</v>
      </c>
    </row>
    <row r="55" spans="1:2 16384:16384" x14ac:dyDescent="0.35">
      <c r="A55" s="10"/>
      <c r="B55" s="13"/>
    </row>
    <row r="56" spans="1:2 16384:16384" x14ac:dyDescent="0.35">
      <c r="A56" s="10"/>
      <c r="B56" s="13"/>
    </row>
    <row r="57" spans="1:2 16384:16384" x14ac:dyDescent="0.35">
      <c r="A57" s="10"/>
      <c r="B57" s="12"/>
    </row>
    <row r="58" spans="1:2 16384:16384" x14ac:dyDescent="0.35">
      <c r="A58" s="10"/>
      <c r="B58" s="11"/>
    </row>
    <row r="59" spans="1:2 16384:16384" x14ac:dyDescent="0.35">
      <c r="A59" s="10"/>
      <c r="B59" s="12"/>
    </row>
  </sheetData>
  <mergeCells count="151">
    <mergeCell ref="CM2:CU3"/>
    <mergeCell ref="AY22:BB22"/>
    <mergeCell ref="BD22:BG22"/>
    <mergeCell ref="BI22:BL22"/>
    <mergeCell ref="BN22:BQ22"/>
    <mergeCell ref="BS22:BV22"/>
    <mergeCell ref="BX22:CA22"/>
    <mergeCell ref="CC22:CF22"/>
    <mergeCell ref="CH22:CK22"/>
    <mergeCell ref="CM22:CP22"/>
    <mergeCell ref="CR22:CU22"/>
    <mergeCell ref="AY20:BG21"/>
    <mergeCell ref="BI20:BQ21"/>
    <mergeCell ref="BS20:CA21"/>
    <mergeCell ref="CC20:CK21"/>
    <mergeCell ref="CM20:CU21"/>
    <mergeCell ref="BD5:BG5"/>
    <mergeCell ref="BD12:BG12"/>
    <mergeCell ref="BD17:BG17"/>
    <mergeCell ref="CC32:CD32"/>
    <mergeCell ref="CC41:CD41"/>
    <mergeCell ref="CM32:CN32"/>
    <mergeCell ref="CM41:CN41"/>
    <mergeCell ref="U2:AC3"/>
    <mergeCell ref="AO2:AW3"/>
    <mergeCell ref="AY2:BG3"/>
    <mergeCell ref="BI2:BQ3"/>
    <mergeCell ref="BS2:CA3"/>
    <mergeCell ref="CM23:CN23"/>
    <mergeCell ref="BX5:CA5"/>
    <mergeCell ref="BX12:CA12"/>
    <mergeCell ref="BX17:CA17"/>
    <mergeCell ref="BS23:BT23"/>
    <mergeCell ref="BU23:BV23"/>
    <mergeCell ref="BX23:BY23"/>
    <mergeCell ref="BZ23:CA23"/>
    <mergeCell ref="AY23:AZ23"/>
    <mergeCell ref="BA23:BB23"/>
    <mergeCell ref="BD23:BE23"/>
    <mergeCell ref="BF23:BG23"/>
    <mergeCell ref="AE23:AF23"/>
    <mergeCell ref="AG23:AH23"/>
    <mergeCell ref="AJ23:AK23"/>
    <mergeCell ref="CT23:CU23"/>
    <mergeCell ref="CM5:CP5"/>
    <mergeCell ref="CM11:CP11"/>
    <mergeCell ref="CR5:CU5"/>
    <mergeCell ref="CR12:CU12"/>
    <mergeCell ref="CR17:CU17"/>
    <mergeCell ref="CC23:CD23"/>
    <mergeCell ref="CE23:CF23"/>
    <mergeCell ref="CH23:CI23"/>
    <mergeCell ref="CJ23:CK23"/>
    <mergeCell ref="CC5:CF5"/>
    <mergeCell ref="CC11:CF11"/>
    <mergeCell ref="CH5:CK5"/>
    <mergeCell ref="CH12:CK12"/>
    <mergeCell ref="CH17:CK17"/>
    <mergeCell ref="CO23:CP23"/>
    <mergeCell ref="CR23:CS23"/>
    <mergeCell ref="AO32:AP32"/>
    <mergeCell ref="AO41:AP41"/>
    <mergeCell ref="AY32:AZ32"/>
    <mergeCell ref="AY41:AZ41"/>
    <mergeCell ref="BP23:BQ23"/>
    <mergeCell ref="BS5:BV5"/>
    <mergeCell ref="BS11:BV11"/>
    <mergeCell ref="BI23:BJ23"/>
    <mergeCell ref="BK23:BL23"/>
    <mergeCell ref="BN23:BO23"/>
    <mergeCell ref="BI5:BL5"/>
    <mergeCell ref="BI11:BL11"/>
    <mergeCell ref="BN5:BQ5"/>
    <mergeCell ref="BN12:BQ12"/>
    <mergeCell ref="BN17:BQ17"/>
    <mergeCell ref="BI32:BJ32"/>
    <mergeCell ref="BI41:BJ41"/>
    <mergeCell ref="BS32:BT32"/>
    <mergeCell ref="BS41:BT41"/>
    <mergeCell ref="AO22:AR22"/>
    <mergeCell ref="AT22:AW22"/>
    <mergeCell ref="AO20:AW21"/>
    <mergeCell ref="AY5:BB5"/>
    <mergeCell ref="AY11:BB11"/>
    <mergeCell ref="AO23:AP23"/>
    <mergeCell ref="AQ23:AR23"/>
    <mergeCell ref="AT23:AU23"/>
    <mergeCell ref="AV23:AW23"/>
    <mergeCell ref="AO5:AR5"/>
    <mergeCell ref="AO11:AR11"/>
    <mergeCell ref="AT5:AW5"/>
    <mergeCell ref="AT12:AW12"/>
    <mergeCell ref="AT17:AW17"/>
    <mergeCell ref="AE2:AM3"/>
    <mergeCell ref="AE5:AH5"/>
    <mergeCell ref="AE11:AH11"/>
    <mergeCell ref="AJ5:AM5"/>
    <mergeCell ref="AJ12:AM12"/>
    <mergeCell ref="AJ17:AM17"/>
    <mergeCell ref="U23:V23"/>
    <mergeCell ref="W23:X23"/>
    <mergeCell ref="Z23:AA23"/>
    <mergeCell ref="AB23:AC23"/>
    <mergeCell ref="Z5:AC5"/>
    <mergeCell ref="Z12:AC12"/>
    <mergeCell ref="Z17:AC17"/>
    <mergeCell ref="U5:X5"/>
    <mergeCell ref="U11:X11"/>
    <mergeCell ref="AL23:AM23"/>
    <mergeCell ref="U22:X22"/>
    <mergeCell ref="Z22:AC22"/>
    <mergeCell ref="AE22:AH22"/>
    <mergeCell ref="AJ22:AM22"/>
    <mergeCell ref="U20:AC21"/>
    <mergeCell ref="AE20:AM21"/>
    <mergeCell ref="A11:D11"/>
    <mergeCell ref="P23:Q23"/>
    <mergeCell ref="R23:S23"/>
    <mergeCell ref="K22:N22"/>
    <mergeCell ref="P22:S22"/>
    <mergeCell ref="K5:N5"/>
    <mergeCell ref="K11:N11"/>
    <mergeCell ref="P5:S5"/>
    <mergeCell ref="P12:S12"/>
    <mergeCell ref="P17:S17"/>
    <mergeCell ref="M23:N23"/>
    <mergeCell ref="K20:S21"/>
    <mergeCell ref="K41:L41"/>
    <mergeCell ref="U32:V32"/>
    <mergeCell ref="U41:V41"/>
    <mergeCell ref="AE32:AF32"/>
    <mergeCell ref="AE41:AF41"/>
    <mergeCell ref="K2:S3"/>
    <mergeCell ref="CC2:CK3"/>
    <mergeCell ref="A54:B54"/>
    <mergeCell ref="F23:G23"/>
    <mergeCell ref="H23:I23"/>
    <mergeCell ref="A41:B41"/>
    <mergeCell ref="A32:B32"/>
    <mergeCell ref="K32:L32"/>
    <mergeCell ref="K23:L23"/>
    <mergeCell ref="A2:I3"/>
    <mergeCell ref="F12:I12"/>
    <mergeCell ref="F5:I5"/>
    <mergeCell ref="F17:I17"/>
    <mergeCell ref="A5:D5"/>
    <mergeCell ref="A23:B23"/>
    <mergeCell ref="C23:D23"/>
    <mergeCell ref="A22:D22"/>
    <mergeCell ref="F22:I22"/>
    <mergeCell ref="A20:I21"/>
  </mergeCells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Indicateurs financiers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guilleux</dc:creator>
  <cp:lastModifiedBy>Remi Riche</cp:lastModifiedBy>
  <dcterms:created xsi:type="dcterms:W3CDTF">2023-06-24T12:56:41Z</dcterms:created>
  <dcterms:modified xsi:type="dcterms:W3CDTF">2023-06-26T10:48:02Z</dcterms:modified>
</cp:coreProperties>
</file>