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mir\Desktop\"/>
    </mc:Choice>
  </mc:AlternateContent>
  <xr:revisionPtr revIDLastSave="0" documentId="8_{31B19BD8-4EEC-4693-B7D1-E2D3A82D099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alculs" sheetId="1" r:id="rId1"/>
    <sheet name="Data" sheetId="5" r:id="rId2"/>
    <sheet name="Sheet1" sheetId="6" r:id="rId3"/>
    <sheet name="Sheet2" sheetId="7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64" i="5" l="1"/>
  <c r="AG264" i="5" s="1"/>
  <c r="D263" i="5"/>
  <c r="H264" i="5"/>
  <c r="L264" i="5"/>
  <c r="P264" i="5"/>
  <c r="T264" i="5"/>
  <c r="T16" i="5"/>
  <c r="T17" i="5"/>
  <c r="T18" i="5"/>
  <c r="T19" i="5"/>
  <c r="T20" i="5"/>
  <c r="T21" i="5"/>
  <c r="T22" i="5"/>
  <c r="T23" i="5"/>
  <c r="U7" i="5" s="1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15" i="5"/>
  <c r="P263" i="5"/>
  <c r="Q263" i="5" s="1"/>
  <c r="AJ264" i="5"/>
  <c r="AK264" i="5" s="1"/>
  <c r="AB264" i="5"/>
  <c r="AC264" i="5" s="1"/>
  <c r="X264" i="5"/>
  <c r="Y264" i="5" s="1"/>
  <c r="AJ263" i="5"/>
  <c r="AK263" i="5" s="1"/>
  <c r="AG263" i="5"/>
  <c r="AF263" i="5"/>
  <c r="AB263" i="5"/>
  <c r="AC263" i="5" s="1"/>
  <c r="X263" i="5"/>
  <c r="Y263" i="5" s="1"/>
  <c r="AJ262" i="5"/>
  <c r="AK262" i="5" s="1"/>
  <c r="AG262" i="5"/>
  <c r="AF262" i="5"/>
  <c r="AB262" i="5"/>
  <c r="AC262" i="5" s="1"/>
  <c r="X262" i="5"/>
  <c r="Y262" i="5" s="1"/>
  <c r="AJ261" i="5"/>
  <c r="AK261" i="5" s="1"/>
  <c r="AG261" i="5"/>
  <c r="AF261" i="5"/>
  <c r="AB261" i="5"/>
  <c r="AC261" i="5" s="1"/>
  <c r="X261" i="5"/>
  <c r="Y261" i="5" s="1"/>
  <c r="AJ260" i="5"/>
  <c r="AK260" i="5" s="1"/>
  <c r="AG260" i="5"/>
  <c r="AF260" i="5"/>
  <c r="AB260" i="5"/>
  <c r="AC260" i="5" s="1"/>
  <c r="X260" i="5"/>
  <c r="Y260" i="5" s="1"/>
  <c r="AJ259" i="5"/>
  <c r="AK259" i="5" s="1"/>
  <c r="AG259" i="5"/>
  <c r="AF259" i="5"/>
  <c r="AB259" i="5"/>
  <c r="AC259" i="5" s="1"/>
  <c r="X259" i="5"/>
  <c r="Y259" i="5" s="1"/>
  <c r="AJ258" i="5"/>
  <c r="AK258" i="5" s="1"/>
  <c r="AG258" i="5"/>
  <c r="AF258" i="5"/>
  <c r="AB258" i="5"/>
  <c r="AC258" i="5" s="1"/>
  <c r="X258" i="5"/>
  <c r="Y258" i="5" s="1"/>
  <c r="AJ257" i="5"/>
  <c r="AK257" i="5" s="1"/>
  <c r="AG257" i="5"/>
  <c r="AF257" i="5"/>
  <c r="AB257" i="5"/>
  <c r="AC257" i="5" s="1"/>
  <c r="X257" i="5"/>
  <c r="Y257" i="5" s="1"/>
  <c r="AJ256" i="5"/>
  <c r="AK256" i="5" s="1"/>
  <c r="AG256" i="5"/>
  <c r="AF256" i="5"/>
  <c r="AB256" i="5"/>
  <c r="AC256" i="5" s="1"/>
  <c r="X256" i="5"/>
  <c r="Y256" i="5" s="1"/>
  <c r="AJ255" i="5"/>
  <c r="AK255" i="5" s="1"/>
  <c r="AG255" i="5"/>
  <c r="AF255" i="5"/>
  <c r="AB255" i="5"/>
  <c r="AC255" i="5" s="1"/>
  <c r="X255" i="5"/>
  <c r="Y255" i="5" s="1"/>
  <c r="AJ254" i="5"/>
  <c r="AK254" i="5" s="1"/>
  <c r="AG254" i="5"/>
  <c r="AF254" i="5"/>
  <c r="AB254" i="5"/>
  <c r="AC254" i="5" s="1"/>
  <c r="X254" i="5"/>
  <c r="Y254" i="5" s="1"/>
  <c r="AJ253" i="5"/>
  <c r="AK253" i="5" s="1"/>
  <c r="AG253" i="5"/>
  <c r="AF253" i="5"/>
  <c r="AB253" i="5"/>
  <c r="AC253" i="5" s="1"/>
  <c r="X253" i="5"/>
  <c r="Y253" i="5" s="1"/>
  <c r="AJ252" i="5"/>
  <c r="AK252" i="5" s="1"/>
  <c r="AG252" i="5"/>
  <c r="AF252" i="5"/>
  <c r="AB252" i="5"/>
  <c r="AC252" i="5" s="1"/>
  <c r="X252" i="5"/>
  <c r="Y252" i="5" s="1"/>
  <c r="AJ251" i="5"/>
  <c r="AK251" i="5" s="1"/>
  <c r="AG251" i="5"/>
  <c r="AF251" i="5"/>
  <c r="AB251" i="5"/>
  <c r="AC251" i="5" s="1"/>
  <c r="X251" i="5"/>
  <c r="Y251" i="5" s="1"/>
  <c r="AJ250" i="5"/>
  <c r="AK250" i="5" s="1"/>
  <c r="AG250" i="5"/>
  <c r="AF250" i="5"/>
  <c r="AB250" i="5"/>
  <c r="AC250" i="5" s="1"/>
  <c r="X250" i="5"/>
  <c r="Y250" i="5" s="1"/>
  <c r="AJ249" i="5"/>
  <c r="AK249" i="5" s="1"/>
  <c r="AG249" i="5"/>
  <c r="AF249" i="5"/>
  <c r="AB249" i="5"/>
  <c r="AC249" i="5" s="1"/>
  <c r="X249" i="5"/>
  <c r="Y249" i="5" s="1"/>
  <c r="AJ248" i="5"/>
  <c r="AK248" i="5" s="1"/>
  <c r="AG248" i="5"/>
  <c r="AF248" i="5"/>
  <c r="AB248" i="5"/>
  <c r="AC248" i="5" s="1"/>
  <c r="X248" i="5"/>
  <c r="Y248" i="5" s="1"/>
  <c r="AJ247" i="5"/>
  <c r="AK247" i="5" s="1"/>
  <c r="AG247" i="5"/>
  <c r="AF247" i="5"/>
  <c r="AB247" i="5"/>
  <c r="AC247" i="5" s="1"/>
  <c r="X247" i="5"/>
  <c r="Y247" i="5" s="1"/>
  <c r="AJ246" i="5"/>
  <c r="AK246" i="5" s="1"/>
  <c r="AG246" i="5"/>
  <c r="AF246" i="5"/>
  <c r="AB246" i="5"/>
  <c r="AC246" i="5" s="1"/>
  <c r="X246" i="5"/>
  <c r="Y246" i="5" s="1"/>
  <c r="AJ245" i="5"/>
  <c r="AK245" i="5" s="1"/>
  <c r="AG245" i="5"/>
  <c r="AF245" i="5"/>
  <c r="AB245" i="5"/>
  <c r="AC245" i="5" s="1"/>
  <c r="X245" i="5"/>
  <c r="Y245" i="5" s="1"/>
  <c r="AJ244" i="5"/>
  <c r="AK244" i="5" s="1"/>
  <c r="AG244" i="5"/>
  <c r="AF244" i="5"/>
  <c r="AB244" i="5"/>
  <c r="AC244" i="5" s="1"/>
  <c r="X244" i="5"/>
  <c r="Y244" i="5" s="1"/>
  <c r="AJ243" i="5"/>
  <c r="AK243" i="5" s="1"/>
  <c r="AG243" i="5"/>
  <c r="AF243" i="5"/>
  <c r="AB243" i="5"/>
  <c r="AC243" i="5" s="1"/>
  <c r="X243" i="5"/>
  <c r="Y243" i="5" s="1"/>
  <c r="AJ242" i="5"/>
  <c r="AK242" i="5" s="1"/>
  <c r="AG242" i="5"/>
  <c r="AF242" i="5"/>
  <c r="AB242" i="5"/>
  <c r="AC242" i="5" s="1"/>
  <c r="X242" i="5"/>
  <c r="Y242" i="5" s="1"/>
  <c r="AJ241" i="5"/>
  <c r="AK241" i="5" s="1"/>
  <c r="AG241" i="5"/>
  <c r="AF241" i="5"/>
  <c r="AB241" i="5"/>
  <c r="AC241" i="5" s="1"/>
  <c r="X241" i="5"/>
  <c r="Y241" i="5" s="1"/>
  <c r="AJ240" i="5"/>
  <c r="AK240" i="5" s="1"/>
  <c r="AG240" i="5"/>
  <c r="AF240" i="5"/>
  <c r="AB240" i="5"/>
  <c r="AC240" i="5" s="1"/>
  <c r="X240" i="5"/>
  <c r="Y240" i="5" s="1"/>
  <c r="AJ239" i="5"/>
  <c r="AK239" i="5" s="1"/>
  <c r="AG239" i="5"/>
  <c r="AF239" i="5"/>
  <c r="AB239" i="5"/>
  <c r="AC239" i="5" s="1"/>
  <c r="X239" i="5"/>
  <c r="Y239" i="5" s="1"/>
  <c r="AJ238" i="5"/>
  <c r="AK238" i="5" s="1"/>
  <c r="AG238" i="5"/>
  <c r="AF238" i="5"/>
  <c r="AB238" i="5"/>
  <c r="AC238" i="5" s="1"/>
  <c r="X238" i="5"/>
  <c r="Y238" i="5" s="1"/>
  <c r="AJ237" i="5"/>
  <c r="AK237" i="5" s="1"/>
  <c r="AG237" i="5"/>
  <c r="AF237" i="5"/>
  <c r="AB237" i="5"/>
  <c r="AC237" i="5" s="1"/>
  <c r="X237" i="5"/>
  <c r="Y237" i="5" s="1"/>
  <c r="AJ236" i="5"/>
  <c r="AK236" i="5" s="1"/>
  <c r="AG236" i="5"/>
  <c r="AF236" i="5"/>
  <c r="AB236" i="5"/>
  <c r="AC236" i="5" s="1"/>
  <c r="X236" i="5"/>
  <c r="Y236" i="5" s="1"/>
  <c r="AJ235" i="5"/>
  <c r="AK235" i="5" s="1"/>
  <c r="AG235" i="5"/>
  <c r="AF235" i="5"/>
  <c r="AB235" i="5"/>
  <c r="AC235" i="5" s="1"/>
  <c r="X235" i="5"/>
  <c r="Y235" i="5" s="1"/>
  <c r="AJ234" i="5"/>
  <c r="AK234" i="5" s="1"/>
  <c r="AG234" i="5"/>
  <c r="AF234" i="5"/>
  <c r="AB234" i="5"/>
  <c r="AC234" i="5" s="1"/>
  <c r="X234" i="5"/>
  <c r="Y234" i="5" s="1"/>
  <c r="AJ233" i="5"/>
  <c r="AK233" i="5" s="1"/>
  <c r="AG233" i="5"/>
  <c r="AF233" i="5"/>
  <c r="AB233" i="5"/>
  <c r="AC233" i="5" s="1"/>
  <c r="X233" i="5"/>
  <c r="Y233" i="5" s="1"/>
  <c r="AJ232" i="5"/>
  <c r="AK232" i="5" s="1"/>
  <c r="AG232" i="5"/>
  <c r="AF232" i="5"/>
  <c r="AB232" i="5"/>
  <c r="AC232" i="5" s="1"/>
  <c r="X232" i="5"/>
  <c r="Y232" i="5" s="1"/>
  <c r="AJ231" i="5"/>
  <c r="AK231" i="5" s="1"/>
  <c r="AG231" i="5"/>
  <c r="AF231" i="5"/>
  <c r="AB231" i="5"/>
  <c r="AC231" i="5" s="1"/>
  <c r="X231" i="5"/>
  <c r="Y231" i="5" s="1"/>
  <c r="AJ230" i="5"/>
  <c r="AK230" i="5" s="1"/>
  <c r="AG230" i="5"/>
  <c r="AF230" i="5"/>
  <c r="AB230" i="5"/>
  <c r="AC230" i="5" s="1"/>
  <c r="X230" i="5"/>
  <c r="Y230" i="5" s="1"/>
  <c r="AJ229" i="5"/>
  <c r="AK229" i="5" s="1"/>
  <c r="AG229" i="5"/>
  <c r="AF229" i="5"/>
  <c r="AB229" i="5"/>
  <c r="AC229" i="5" s="1"/>
  <c r="X229" i="5"/>
  <c r="Y229" i="5" s="1"/>
  <c r="AJ228" i="5"/>
  <c r="AK228" i="5" s="1"/>
  <c r="AG228" i="5"/>
  <c r="AF228" i="5"/>
  <c r="AB228" i="5"/>
  <c r="AC228" i="5" s="1"/>
  <c r="X228" i="5"/>
  <c r="Y228" i="5" s="1"/>
  <c r="AJ227" i="5"/>
  <c r="AK227" i="5" s="1"/>
  <c r="AG227" i="5"/>
  <c r="AF227" i="5"/>
  <c r="AB227" i="5"/>
  <c r="AC227" i="5" s="1"/>
  <c r="X227" i="5"/>
  <c r="Y227" i="5" s="1"/>
  <c r="AJ226" i="5"/>
  <c r="AK226" i="5" s="1"/>
  <c r="AG226" i="5"/>
  <c r="AF226" i="5"/>
  <c r="AB226" i="5"/>
  <c r="AC226" i="5" s="1"/>
  <c r="X226" i="5"/>
  <c r="Y226" i="5" s="1"/>
  <c r="AJ225" i="5"/>
  <c r="AK225" i="5" s="1"/>
  <c r="AG225" i="5"/>
  <c r="AF225" i="5"/>
  <c r="AB225" i="5"/>
  <c r="AC225" i="5" s="1"/>
  <c r="X225" i="5"/>
  <c r="Y225" i="5" s="1"/>
  <c r="AJ224" i="5"/>
  <c r="AK224" i="5" s="1"/>
  <c r="AG224" i="5"/>
  <c r="AF224" i="5"/>
  <c r="AB224" i="5"/>
  <c r="AC224" i="5" s="1"/>
  <c r="X224" i="5"/>
  <c r="Y224" i="5" s="1"/>
  <c r="AJ223" i="5"/>
  <c r="AK223" i="5" s="1"/>
  <c r="AG223" i="5"/>
  <c r="AF223" i="5"/>
  <c r="AB223" i="5"/>
  <c r="AC223" i="5" s="1"/>
  <c r="X223" i="5"/>
  <c r="Y223" i="5" s="1"/>
  <c r="AJ222" i="5"/>
  <c r="AK222" i="5" s="1"/>
  <c r="AG222" i="5"/>
  <c r="AF222" i="5"/>
  <c r="AB222" i="5"/>
  <c r="AC222" i="5" s="1"/>
  <c r="X222" i="5"/>
  <c r="Y222" i="5" s="1"/>
  <c r="AJ221" i="5"/>
  <c r="AK221" i="5" s="1"/>
  <c r="AG221" i="5"/>
  <c r="AF221" i="5"/>
  <c r="AB221" i="5"/>
  <c r="AC221" i="5" s="1"/>
  <c r="X221" i="5"/>
  <c r="Y221" i="5" s="1"/>
  <c r="AJ220" i="5"/>
  <c r="AK220" i="5" s="1"/>
  <c r="AG220" i="5"/>
  <c r="AF220" i="5"/>
  <c r="AB220" i="5"/>
  <c r="AC220" i="5" s="1"/>
  <c r="X220" i="5"/>
  <c r="Y220" i="5" s="1"/>
  <c r="AJ219" i="5"/>
  <c r="AK219" i="5" s="1"/>
  <c r="AG219" i="5"/>
  <c r="AF219" i="5"/>
  <c r="AB219" i="5"/>
  <c r="AC219" i="5" s="1"/>
  <c r="X219" i="5"/>
  <c r="Y219" i="5" s="1"/>
  <c r="AJ218" i="5"/>
  <c r="AK218" i="5" s="1"/>
  <c r="AG218" i="5"/>
  <c r="AF218" i="5"/>
  <c r="AB218" i="5"/>
  <c r="AC218" i="5" s="1"/>
  <c r="X218" i="5"/>
  <c r="Y218" i="5" s="1"/>
  <c r="AJ217" i="5"/>
  <c r="AK217" i="5" s="1"/>
  <c r="AG217" i="5"/>
  <c r="AF217" i="5"/>
  <c r="AB217" i="5"/>
  <c r="AC217" i="5" s="1"/>
  <c r="X217" i="5"/>
  <c r="Y217" i="5" s="1"/>
  <c r="AJ216" i="5"/>
  <c r="AK216" i="5" s="1"/>
  <c r="AG216" i="5"/>
  <c r="AF216" i="5"/>
  <c r="AB216" i="5"/>
  <c r="AC216" i="5" s="1"/>
  <c r="X216" i="5"/>
  <c r="Y216" i="5" s="1"/>
  <c r="AJ215" i="5"/>
  <c r="AK215" i="5" s="1"/>
  <c r="AG215" i="5"/>
  <c r="AF215" i="5"/>
  <c r="AB215" i="5"/>
  <c r="AC215" i="5" s="1"/>
  <c r="X215" i="5"/>
  <c r="Y215" i="5" s="1"/>
  <c r="AJ214" i="5"/>
  <c r="AK214" i="5" s="1"/>
  <c r="AF214" i="5"/>
  <c r="AG214" i="5" s="1"/>
  <c r="AB214" i="5"/>
  <c r="AC214" i="5" s="1"/>
  <c r="Y214" i="5"/>
  <c r="X214" i="5"/>
  <c r="AK213" i="5"/>
  <c r="AJ213" i="5"/>
  <c r="AF213" i="5"/>
  <c r="AG213" i="5" s="1"/>
  <c r="AB213" i="5"/>
  <c r="AC213" i="5" s="1"/>
  <c r="X213" i="5"/>
  <c r="Y213" i="5" s="1"/>
  <c r="AJ212" i="5"/>
  <c r="AK212" i="5" s="1"/>
  <c r="AF212" i="5"/>
  <c r="AG212" i="5" s="1"/>
  <c r="AB212" i="5"/>
  <c r="AC212" i="5" s="1"/>
  <c r="Y212" i="5"/>
  <c r="X212" i="5"/>
  <c r="AK211" i="5"/>
  <c r="AJ211" i="5"/>
  <c r="AG211" i="5"/>
  <c r="AF211" i="5"/>
  <c r="AB211" i="5"/>
  <c r="AC211" i="5" s="1"/>
  <c r="X211" i="5"/>
  <c r="Y211" i="5" s="1"/>
  <c r="AJ210" i="5"/>
  <c r="AK210" i="5" s="1"/>
  <c r="AF210" i="5"/>
  <c r="AG210" i="5" s="1"/>
  <c r="AB210" i="5"/>
  <c r="AC210" i="5" s="1"/>
  <c r="Y210" i="5"/>
  <c r="X210" i="5"/>
  <c r="AK209" i="5"/>
  <c r="AJ209" i="5"/>
  <c r="AG209" i="5"/>
  <c r="AF209" i="5"/>
  <c r="AB209" i="5"/>
  <c r="AC209" i="5" s="1"/>
  <c r="X209" i="5"/>
  <c r="Y209" i="5" s="1"/>
  <c r="AJ208" i="5"/>
  <c r="AK208" i="5" s="1"/>
  <c r="AF208" i="5"/>
  <c r="AG208" i="5" s="1"/>
  <c r="AB208" i="5"/>
  <c r="AC208" i="5" s="1"/>
  <c r="Y208" i="5"/>
  <c r="X208" i="5"/>
  <c r="AK207" i="5"/>
  <c r="AJ207" i="5"/>
  <c r="AG207" i="5"/>
  <c r="AF207" i="5"/>
  <c r="AB207" i="5"/>
  <c r="AC207" i="5" s="1"/>
  <c r="X207" i="5"/>
  <c r="Y207" i="5" s="1"/>
  <c r="AJ206" i="5"/>
  <c r="AK206" i="5" s="1"/>
  <c r="AF206" i="5"/>
  <c r="AG206" i="5" s="1"/>
  <c r="AB206" i="5"/>
  <c r="AC206" i="5" s="1"/>
  <c r="Y206" i="5"/>
  <c r="X206" i="5"/>
  <c r="AK205" i="5"/>
  <c r="AJ205" i="5"/>
  <c r="AG205" i="5"/>
  <c r="AF205" i="5"/>
  <c r="AB205" i="5"/>
  <c r="AC205" i="5" s="1"/>
  <c r="Y205" i="5"/>
  <c r="X205" i="5"/>
  <c r="AJ204" i="5"/>
  <c r="AK204" i="5" s="1"/>
  <c r="AF204" i="5"/>
  <c r="AG204" i="5" s="1"/>
  <c r="AB204" i="5"/>
  <c r="AC204" i="5" s="1"/>
  <c r="X204" i="5"/>
  <c r="Y204" i="5" s="1"/>
  <c r="AK203" i="5"/>
  <c r="AJ203" i="5"/>
  <c r="AG203" i="5"/>
  <c r="AF203" i="5"/>
  <c r="AB203" i="5"/>
  <c r="AC203" i="5" s="1"/>
  <c r="X203" i="5"/>
  <c r="Y203" i="5" s="1"/>
  <c r="AJ202" i="5"/>
  <c r="AK202" i="5" s="1"/>
  <c r="AF202" i="5"/>
  <c r="AG202" i="5" s="1"/>
  <c r="AB202" i="5"/>
  <c r="AC202" i="5" s="1"/>
  <c r="Y202" i="5"/>
  <c r="X202" i="5"/>
  <c r="AJ201" i="5"/>
  <c r="AK201" i="5" s="1"/>
  <c r="AG201" i="5"/>
  <c r="AF201" i="5"/>
  <c r="AB201" i="5"/>
  <c r="AC201" i="5" s="1"/>
  <c r="X201" i="5"/>
  <c r="Y201" i="5" s="1"/>
  <c r="AJ200" i="5"/>
  <c r="AK200" i="5" s="1"/>
  <c r="AG200" i="5"/>
  <c r="AF200" i="5"/>
  <c r="AB200" i="5"/>
  <c r="AC200" i="5" s="1"/>
  <c r="Y200" i="5"/>
  <c r="X200" i="5"/>
  <c r="AK199" i="5"/>
  <c r="AJ199" i="5"/>
  <c r="AF199" i="5"/>
  <c r="AG199" i="5" s="1"/>
  <c r="AB199" i="5"/>
  <c r="AC199" i="5" s="1"/>
  <c r="X199" i="5"/>
  <c r="Y199" i="5" s="1"/>
  <c r="AJ198" i="5"/>
  <c r="AK198" i="5" s="1"/>
  <c r="AF198" i="5"/>
  <c r="AG198" i="5" s="1"/>
  <c r="AB198" i="5"/>
  <c r="AC198" i="5" s="1"/>
  <c r="Y198" i="5"/>
  <c r="X198" i="5"/>
  <c r="AK197" i="5"/>
  <c r="AJ197" i="5"/>
  <c r="AG197" i="5"/>
  <c r="AF197" i="5"/>
  <c r="AB197" i="5"/>
  <c r="AC197" i="5" s="1"/>
  <c r="Y197" i="5"/>
  <c r="X197" i="5"/>
  <c r="AJ196" i="5"/>
  <c r="AK196" i="5" s="1"/>
  <c r="AF196" i="5"/>
  <c r="AG196" i="5" s="1"/>
  <c r="AB196" i="5"/>
  <c r="AC196" i="5" s="1"/>
  <c r="Y196" i="5"/>
  <c r="X196" i="5"/>
  <c r="AK195" i="5"/>
  <c r="AJ195" i="5"/>
  <c r="AG195" i="5"/>
  <c r="AF195" i="5"/>
  <c r="AB195" i="5"/>
  <c r="AC195" i="5" s="1"/>
  <c r="X195" i="5"/>
  <c r="Y195" i="5" s="1"/>
  <c r="AK194" i="5"/>
  <c r="AJ194" i="5"/>
  <c r="AF194" i="5"/>
  <c r="AG194" i="5" s="1"/>
  <c r="AB194" i="5"/>
  <c r="AC194" i="5" s="1"/>
  <c r="Y194" i="5"/>
  <c r="X194" i="5"/>
  <c r="AK193" i="5"/>
  <c r="AJ193" i="5"/>
  <c r="AG193" i="5"/>
  <c r="AF193" i="5"/>
  <c r="AB193" i="5"/>
  <c r="AC193" i="5" s="1"/>
  <c r="X193" i="5"/>
  <c r="Y193" i="5" s="1"/>
  <c r="AJ192" i="5"/>
  <c r="AK192" i="5" s="1"/>
  <c r="AF192" i="5"/>
  <c r="AG192" i="5" s="1"/>
  <c r="AB192" i="5"/>
  <c r="AC192" i="5" s="1"/>
  <c r="Y192" i="5"/>
  <c r="X192" i="5"/>
  <c r="AK191" i="5"/>
  <c r="AJ191" i="5"/>
  <c r="AG191" i="5"/>
  <c r="AF191" i="5"/>
  <c r="AB191" i="5"/>
  <c r="AC191" i="5" s="1"/>
  <c r="X191" i="5"/>
  <c r="Y191" i="5" s="1"/>
  <c r="AJ190" i="5"/>
  <c r="AK190" i="5" s="1"/>
  <c r="AF190" i="5"/>
  <c r="AG190" i="5" s="1"/>
  <c r="AB190" i="5"/>
  <c r="AC190" i="5" s="1"/>
  <c r="Y190" i="5"/>
  <c r="X190" i="5"/>
  <c r="AK189" i="5"/>
  <c r="AJ189" i="5"/>
  <c r="AG189" i="5"/>
  <c r="AF189" i="5"/>
  <c r="AB189" i="5"/>
  <c r="AC189" i="5" s="1"/>
  <c r="Y189" i="5"/>
  <c r="X189" i="5"/>
  <c r="AJ188" i="5"/>
  <c r="AK188" i="5" s="1"/>
  <c r="AF188" i="5"/>
  <c r="AG188" i="5" s="1"/>
  <c r="AB188" i="5"/>
  <c r="AC188" i="5" s="1"/>
  <c r="X188" i="5"/>
  <c r="Y188" i="5" s="1"/>
  <c r="AK187" i="5"/>
  <c r="AJ187" i="5"/>
  <c r="AG187" i="5"/>
  <c r="AF187" i="5"/>
  <c r="AB187" i="5"/>
  <c r="AC187" i="5" s="1"/>
  <c r="X187" i="5"/>
  <c r="Y187" i="5" s="1"/>
  <c r="AJ186" i="5"/>
  <c r="AK186" i="5" s="1"/>
  <c r="AF186" i="5"/>
  <c r="AG186" i="5" s="1"/>
  <c r="AB186" i="5"/>
  <c r="AC186" i="5" s="1"/>
  <c r="Y186" i="5"/>
  <c r="X186" i="5"/>
  <c r="AJ185" i="5"/>
  <c r="AK185" i="5" s="1"/>
  <c r="AK8" i="5" s="1"/>
  <c r="AG185" i="5"/>
  <c r="AF185" i="5"/>
  <c r="AB185" i="5"/>
  <c r="AC185" i="5" s="1"/>
  <c r="X185" i="5"/>
  <c r="Y185" i="5" s="1"/>
  <c r="AJ184" i="5"/>
  <c r="AK184" i="5" s="1"/>
  <c r="AG184" i="5"/>
  <c r="AF184" i="5"/>
  <c r="AB184" i="5"/>
  <c r="AC184" i="5" s="1"/>
  <c r="Y184" i="5"/>
  <c r="X184" i="5"/>
  <c r="AK183" i="5"/>
  <c r="AJ183" i="5"/>
  <c r="AG183" i="5"/>
  <c r="AF183" i="5"/>
  <c r="AB183" i="5"/>
  <c r="AC183" i="5" s="1"/>
  <c r="X183" i="5"/>
  <c r="Y183" i="5" s="1"/>
  <c r="AJ182" i="5"/>
  <c r="AK182" i="5" s="1"/>
  <c r="AF182" i="5"/>
  <c r="AG182" i="5" s="1"/>
  <c r="AB182" i="5"/>
  <c r="AC182" i="5" s="1"/>
  <c r="Y182" i="5"/>
  <c r="X182" i="5"/>
  <c r="AK181" i="5"/>
  <c r="AJ181" i="5"/>
  <c r="AG181" i="5"/>
  <c r="AF181" i="5"/>
  <c r="AB181" i="5"/>
  <c r="AC181" i="5" s="1"/>
  <c r="X181" i="5"/>
  <c r="Y181" i="5" s="1"/>
  <c r="AJ180" i="5"/>
  <c r="AK180" i="5" s="1"/>
  <c r="AF180" i="5"/>
  <c r="AG180" i="5" s="1"/>
  <c r="AB180" i="5"/>
  <c r="AC180" i="5" s="1"/>
  <c r="Y180" i="5"/>
  <c r="X180" i="5"/>
  <c r="AJ179" i="5"/>
  <c r="AK179" i="5" s="1"/>
  <c r="AF179" i="5"/>
  <c r="AG179" i="5" s="1"/>
  <c r="AB179" i="5"/>
  <c r="AC179" i="5" s="1"/>
  <c r="Y179" i="5"/>
  <c r="X179" i="5"/>
  <c r="AJ178" i="5"/>
  <c r="AK178" i="5" s="1"/>
  <c r="AF178" i="5"/>
  <c r="AG178" i="5" s="1"/>
  <c r="AB178" i="5"/>
  <c r="AC178" i="5" s="1"/>
  <c r="Y178" i="5"/>
  <c r="X178" i="5"/>
  <c r="AJ177" i="5"/>
  <c r="AK177" i="5" s="1"/>
  <c r="AF177" i="5"/>
  <c r="AG177" i="5" s="1"/>
  <c r="AB177" i="5"/>
  <c r="AC177" i="5" s="1"/>
  <c r="X177" i="5"/>
  <c r="Y177" i="5" s="1"/>
  <c r="AJ176" i="5"/>
  <c r="AK176" i="5" s="1"/>
  <c r="AF176" i="5"/>
  <c r="AG176" i="5" s="1"/>
  <c r="AB176" i="5"/>
  <c r="AC176" i="5" s="1"/>
  <c r="Y176" i="5"/>
  <c r="X176" i="5"/>
  <c r="AJ175" i="5"/>
  <c r="AK175" i="5" s="1"/>
  <c r="AF175" i="5"/>
  <c r="AG175" i="5" s="1"/>
  <c r="AB175" i="5"/>
  <c r="AC175" i="5" s="1"/>
  <c r="X175" i="5"/>
  <c r="Y175" i="5" s="1"/>
  <c r="AJ174" i="5"/>
  <c r="AK174" i="5" s="1"/>
  <c r="AF174" i="5"/>
  <c r="AG174" i="5" s="1"/>
  <c r="AB174" i="5"/>
  <c r="AC174" i="5" s="1"/>
  <c r="Y174" i="5"/>
  <c r="X174" i="5"/>
  <c r="AJ173" i="5"/>
  <c r="AK173" i="5" s="1"/>
  <c r="AF173" i="5"/>
  <c r="AG173" i="5" s="1"/>
  <c r="AB173" i="5"/>
  <c r="AC173" i="5" s="1"/>
  <c r="X173" i="5"/>
  <c r="Y173" i="5" s="1"/>
  <c r="AJ172" i="5"/>
  <c r="AK172" i="5" s="1"/>
  <c r="AF172" i="5"/>
  <c r="AG172" i="5" s="1"/>
  <c r="AB172" i="5"/>
  <c r="AC172" i="5" s="1"/>
  <c r="Y172" i="5"/>
  <c r="X172" i="5"/>
  <c r="AJ171" i="5"/>
  <c r="AK171" i="5" s="1"/>
  <c r="AF171" i="5"/>
  <c r="AG171" i="5" s="1"/>
  <c r="AB171" i="5"/>
  <c r="AC171" i="5" s="1"/>
  <c r="Y171" i="5"/>
  <c r="X171" i="5"/>
  <c r="AJ170" i="5"/>
  <c r="AK170" i="5" s="1"/>
  <c r="AF170" i="5"/>
  <c r="AG170" i="5" s="1"/>
  <c r="AB170" i="5"/>
  <c r="AC170" i="5" s="1"/>
  <c r="Y170" i="5"/>
  <c r="X170" i="5"/>
  <c r="AJ169" i="5"/>
  <c r="AK169" i="5" s="1"/>
  <c r="AF169" i="5"/>
  <c r="AG169" i="5" s="1"/>
  <c r="AB169" i="5"/>
  <c r="AC169" i="5" s="1"/>
  <c r="X169" i="5"/>
  <c r="Y169" i="5" s="1"/>
  <c r="AJ168" i="5"/>
  <c r="AK168" i="5" s="1"/>
  <c r="AF168" i="5"/>
  <c r="AG168" i="5" s="1"/>
  <c r="AB168" i="5"/>
  <c r="AC168" i="5" s="1"/>
  <c r="Y168" i="5"/>
  <c r="X168" i="5"/>
  <c r="AJ167" i="5"/>
  <c r="AK167" i="5" s="1"/>
  <c r="AF167" i="5"/>
  <c r="AG167" i="5" s="1"/>
  <c r="AB167" i="5"/>
  <c r="AC167" i="5" s="1"/>
  <c r="X167" i="5"/>
  <c r="Y167" i="5" s="1"/>
  <c r="AJ166" i="5"/>
  <c r="AK166" i="5" s="1"/>
  <c r="AF166" i="5"/>
  <c r="AG166" i="5" s="1"/>
  <c r="AB166" i="5"/>
  <c r="AC166" i="5" s="1"/>
  <c r="Y166" i="5"/>
  <c r="X166" i="5"/>
  <c r="AJ165" i="5"/>
  <c r="AK165" i="5" s="1"/>
  <c r="AF165" i="5"/>
  <c r="AG165" i="5" s="1"/>
  <c r="AB165" i="5"/>
  <c r="AC165" i="5" s="1"/>
  <c r="X165" i="5"/>
  <c r="Y165" i="5" s="1"/>
  <c r="AJ164" i="5"/>
  <c r="AK164" i="5" s="1"/>
  <c r="AF164" i="5"/>
  <c r="AG164" i="5" s="1"/>
  <c r="AB164" i="5"/>
  <c r="AC164" i="5" s="1"/>
  <c r="Y164" i="5"/>
  <c r="X164" i="5"/>
  <c r="AJ163" i="5"/>
  <c r="AK163" i="5" s="1"/>
  <c r="AF163" i="5"/>
  <c r="AG163" i="5" s="1"/>
  <c r="AB163" i="5"/>
  <c r="AC163" i="5" s="1"/>
  <c r="X163" i="5"/>
  <c r="Y163" i="5" s="1"/>
  <c r="AJ162" i="5"/>
  <c r="AK162" i="5" s="1"/>
  <c r="AF162" i="5"/>
  <c r="AG162" i="5" s="1"/>
  <c r="AB162" i="5"/>
  <c r="AC162" i="5" s="1"/>
  <c r="Y162" i="5"/>
  <c r="X162" i="5"/>
  <c r="AJ161" i="5"/>
  <c r="AK161" i="5" s="1"/>
  <c r="AF161" i="5"/>
  <c r="AG161" i="5" s="1"/>
  <c r="AB161" i="5"/>
  <c r="AC161" i="5" s="1"/>
  <c r="X161" i="5"/>
  <c r="Y161" i="5" s="1"/>
  <c r="AJ160" i="5"/>
  <c r="AK160" i="5" s="1"/>
  <c r="AF160" i="5"/>
  <c r="AG160" i="5" s="1"/>
  <c r="AB160" i="5"/>
  <c r="AC160" i="5" s="1"/>
  <c r="Y160" i="5"/>
  <c r="X160" i="5"/>
  <c r="AJ159" i="5"/>
  <c r="AK159" i="5" s="1"/>
  <c r="AF159" i="5"/>
  <c r="AG159" i="5" s="1"/>
  <c r="AB159" i="5"/>
  <c r="AC159" i="5" s="1"/>
  <c r="X159" i="5"/>
  <c r="Y159" i="5" s="1"/>
  <c r="AJ158" i="5"/>
  <c r="AK158" i="5" s="1"/>
  <c r="AF158" i="5"/>
  <c r="AG158" i="5" s="1"/>
  <c r="AB158" i="5"/>
  <c r="AC158" i="5" s="1"/>
  <c r="X158" i="5"/>
  <c r="Y158" i="5" s="1"/>
  <c r="AJ157" i="5"/>
  <c r="AK157" i="5" s="1"/>
  <c r="AF157" i="5"/>
  <c r="AG157" i="5" s="1"/>
  <c r="AB157" i="5"/>
  <c r="AC157" i="5" s="1"/>
  <c r="X157" i="5"/>
  <c r="Y157" i="5" s="1"/>
  <c r="AJ156" i="5"/>
  <c r="AK156" i="5" s="1"/>
  <c r="AF156" i="5"/>
  <c r="AG156" i="5" s="1"/>
  <c r="AB156" i="5"/>
  <c r="AC156" i="5" s="1"/>
  <c r="X156" i="5"/>
  <c r="Y156" i="5" s="1"/>
  <c r="AJ155" i="5"/>
  <c r="AK155" i="5" s="1"/>
  <c r="AF155" i="5"/>
  <c r="AG155" i="5" s="1"/>
  <c r="AB155" i="5"/>
  <c r="AC155" i="5" s="1"/>
  <c r="X155" i="5"/>
  <c r="Y155" i="5" s="1"/>
  <c r="AJ154" i="5"/>
  <c r="AK154" i="5" s="1"/>
  <c r="AF154" i="5"/>
  <c r="AG154" i="5" s="1"/>
  <c r="AB154" i="5"/>
  <c r="AC154" i="5" s="1"/>
  <c r="X154" i="5"/>
  <c r="Y154" i="5" s="1"/>
  <c r="AJ153" i="5"/>
  <c r="AK153" i="5" s="1"/>
  <c r="AF153" i="5"/>
  <c r="AG153" i="5" s="1"/>
  <c r="AB153" i="5"/>
  <c r="AC153" i="5" s="1"/>
  <c r="X153" i="5"/>
  <c r="Y153" i="5" s="1"/>
  <c r="AJ152" i="5"/>
  <c r="AK152" i="5" s="1"/>
  <c r="AF152" i="5"/>
  <c r="AG152" i="5" s="1"/>
  <c r="AB152" i="5"/>
  <c r="AC152" i="5" s="1"/>
  <c r="X152" i="5"/>
  <c r="Y152" i="5" s="1"/>
  <c r="AJ151" i="5"/>
  <c r="AK151" i="5" s="1"/>
  <c r="AF151" i="5"/>
  <c r="AG151" i="5" s="1"/>
  <c r="AB151" i="5"/>
  <c r="AC151" i="5" s="1"/>
  <c r="X151" i="5"/>
  <c r="Y151" i="5" s="1"/>
  <c r="AJ150" i="5"/>
  <c r="AK150" i="5" s="1"/>
  <c r="AF150" i="5"/>
  <c r="AG150" i="5" s="1"/>
  <c r="AB150" i="5"/>
  <c r="AC150" i="5" s="1"/>
  <c r="X150" i="5"/>
  <c r="Y150" i="5" s="1"/>
  <c r="AJ149" i="5"/>
  <c r="AK149" i="5" s="1"/>
  <c r="AF149" i="5"/>
  <c r="AG149" i="5" s="1"/>
  <c r="AB149" i="5"/>
  <c r="AC149" i="5" s="1"/>
  <c r="X149" i="5"/>
  <c r="Y149" i="5" s="1"/>
  <c r="AJ148" i="5"/>
  <c r="AK148" i="5" s="1"/>
  <c r="AF148" i="5"/>
  <c r="AG148" i="5" s="1"/>
  <c r="AB148" i="5"/>
  <c r="AC148" i="5" s="1"/>
  <c r="X148" i="5"/>
  <c r="Y148" i="5" s="1"/>
  <c r="AJ147" i="5"/>
  <c r="AK147" i="5" s="1"/>
  <c r="AF147" i="5"/>
  <c r="AG147" i="5" s="1"/>
  <c r="AB147" i="5"/>
  <c r="AC147" i="5" s="1"/>
  <c r="X147" i="5"/>
  <c r="Y147" i="5" s="1"/>
  <c r="AJ146" i="5"/>
  <c r="AK146" i="5" s="1"/>
  <c r="AF146" i="5"/>
  <c r="AG146" i="5" s="1"/>
  <c r="AB146" i="5"/>
  <c r="AC146" i="5" s="1"/>
  <c r="X146" i="5"/>
  <c r="Y146" i="5" s="1"/>
  <c r="AJ145" i="5"/>
  <c r="AK145" i="5" s="1"/>
  <c r="AF145" i="5"/>
  <c r="AG145" i="5" s="1"/>
  <c r="AB145" i="5"/>
  <c r="AC145" i="5" s="1"/>
  <c r="X145" i="5"/>
  <c r="Y145" i="5" s="1"/>
  <c r="AJ144" i="5"/>
  <c r="AK144" i="5" s="1"/>
  <c r="AF144" i="5"/>
  <c r="AG144" i="5" s="1"/>
  <c r="AB144" i="5"/>
  <c r="AC144" i="5" s="1"/>
  <c r="X144" i="5"/>
  <c r="Y144" i="5" s="1"/>
  <c r="AJ143" i="5"/>
  <c r="AK143" i="5" s="1"/>
  <c r="AF143" i="5"/>
  <c r="AG143" i="5" s="1"/>
  <c r="AB143" i="5"/>
  <c r="AC143" i="5" s="1"/>
  <c r="X143" i="5"/>
  <c r="Y143" i="5" s="1"/>
  <c r="AJ142" i="5"/>
  <c r="AK142" i="5" s="1"/>
  <c r="AF142" i="5"/>
  <c r="AG142" i="5" s="1"/>
  <c r="AB142" i="5"/>
  <c r="AC142" i="5" s="1"/>
  <c r="X142" i="5"/>
  <c r="Y142" i="5" s="1"/>
  <c r="AJ141" i="5"/>
  <c r="AK141" i="5" s="1"/>
  <c r="AF141" i="5"/>
  <c r="AG141" i="5" s="1"/>
  <c r="AB141" i="5"/>
  <c r="AC141" i="5" s="1"/>
  <c r="X141" i="5"/>
  <c r="Y141" i="5" s="1"/>
  <c r="AJ140" i="5"/>
  <c r="AK140" i="5" s="1"/>
  <c r="AF140" i="5"/>
  <c r="AG140" i="5" s="1"/>
  <c r="AB140" i="5"/>
  <c r="AC140" i="5" s="1"/>
  <c r="X140" i="5"/>
  <c r="Y140" i="5" s="1"/>
  <c r="AJ139" i="5"/>
  <c r="AK139" i="5" s="1"/>
  <c r="AF139" i="5"/>
  <c r="AG139" i="5" s="1"/>
  <c r="AB139" i="5"/>
  <c r="AC139" i="5" s="1"/>
  <c r="X139" i="5"/>
  <c r="Y139" i="5" s="1"/>
  <c r="AJ138" i="5"/>
  <c r="AK138" i="5" s="1"/>
  <c r="AF138" i="5"/>
  <c r="AG138" i="5" s="1"/>
  <c r="AB138" i="5"/>
  <c r="AC138" i="5" s="1"/>
  <c r="X138" i="5"/>
  <c r="Y138" i="5" s="1"/>
  <c r="AJ137" i="5"/>
  <c r="AK137" i="5" s="1"/>
  <c r="AF137" i="5"/>
  <c r="AG137" i="5" s="1"/>
  <c r="AB137" i="5"/>
  <c r="AC137" i="5" s="1"/>
  <c r="X137" i="5"/>
  <c r="Y137" i="5" s="1"/>
  <c r="AJ136" i="5"/>
  <c r="AK136" i="5" s="1"/>
  <c r="AF136" i="5"/>
  <c r="AG136" i="5" s="1"/>
  <c r="AB136" i="5"/>
  <c r="AC136" i="5" s="1"/>
  <c r="X136" i="5"/>
  <c r="Y136" i="5" s="1"/>
  <c r="AJ135" i="5"/>
  <c r="AK135" i="5" s="1"/>
  <c r="AF135" i="5"/>
  <c r="AG135" i="5" s="1"/>
  <c r="AB135" i="5"/>
  <c r="AC135" i="5" s="1"/>
  <c r="X135" i="5"/>
  <c r="Y135" i="5" s="1"/>
  <c r="AJ134" i="5"/>
  <c r="AK134" i="5" s="1"/>
  <c r="AF134" i="5"/>
  <c r="AG134" i="5" s="1"/>
  <c r="AB134" i="5"/>
  <c r="AC134" i="5" s="1"/>
  <c r="X134" i="5"/>
  <c r="Y134" i="5" s="1"/>
  <c r="AJ133" i="5"/>
  <c r="AK133" i="5" s="1"/>
  <c r="AF133" i="5"/>
  <c r="AG133" i="5" s="1"/>
  <c r="AB133" i="5"/>
  <c r="AC133" i="5" s="1"/>
  <c r="X133" i="5"/>
  <c r="Y133" i="5" s="1"/>
  <c r="AJ132" i="5"/>
  <c r="AK132" i="5" s="1"/>
  <c r="AF132" i="5"/>
  <c r="AG132" i="5" s="1"/>
  <c r="AB132" i="5"/>
  <c r="AC132" i="5" s="1"/>
  <c r="X132" i="5"/>
  <c r="Y132" i="5" s="1"/>
  <c r="AJ131" i="5"/>
  <c r="AK131" i="5" s="1"/>
  <c r="AF131" i="5"/>
  <c r="AG131" i="5" s="1"/>
  <c r="AB131" i="5"/>
  <c r="AC131" i="5" s="1"/>
  <c r="X131" i="5"/>
  <c r="Y131" i="5" s="1"/>
  <c r="AJ130" i="5"/>
  <c r="AK130" i="5" s="1"/>
  <c r="AF130" i="5"/>
  <c r="AG130" i="5" s="1"/>
  <c r="AB130" i="5"/>
  <c r="AC130" i="5" s="1"/>
  <c r="X130" i="5"/>
  <c r="Y130" i="5" s="1"/>
  <c r="AJ129" i="5"/>
  <c r="AK129" i="5" s="1"/>
  <c r="AG129" i="5"/>
  <c r="AF129" i="5"/>
  <c r="AC129" i="5"/>
  <c r="AB129" i="5"/>
  <c r="Y129" i="5"/>
  <c r="X129" i="5"/>
  <c r="AJ128" i="5"/>
  <c r="AK128" i="5" s="1"/>
  <c r="AF128" i="5"/>
  <c r="AG128" i="5" s="1"/>
  <c r="AB128" i="5"/>
  <c r="AC128" i="5" s="1"/>
  <c r="X128" i="5"/>
  <c r="Y128" i="5" s="1"/>
  <c r="AJ127" i="5"/>
  <c r="AK127" i="5" s="1"/>
  <c r="AG127" i="5"/>
  <c r="AF127" i="5"/>
  <c r="AC127" i="5"/>
  <c r="AB127" i="5"/>
  <c r="Y127" i="5"/>
  <c r="X127" i="5"/>
  <c r="AJ126" i="5"/>
  <c r="AK126" i="5" s="1"/>
  <c r="AF126" i="5"/>
  <c r="AG126" i="5" s="1"/>
  <c r="AB126" i="5"/>
  <c r="AC126" i="5" s="1"/>
  <c r="X126" i="5"/>
  <c r="Y126" i="5" s="1"/>
  <c r="AJ125" i="5"/>
  <c r="AK125" i="5" s="1"/>
  <c r="AG125" i="5"/>
  <c r="AF125" i="5"/>
  <c r="AC125" i="5"/>
  <c r="AB125" i="5"/>
  <c r="Y125" i="5"/>
  <c r="X125" i="5"/>
  <c r="AJ124" i="5"/>
  <c r="AK124" i="5" s="1"/>
  <c r="AF124" i="5"/>
  <c r="AG124" i="5" s="1"/>
  <c r="AB124" i="5"/>
  <c r="AC124" i="5" s="1"/>
  <c r="X124" i="5"/>
  <c r="Y124" i="5" s="1"/>
  <c r="AJ123" i="5"/>
  <c r="AK123" i="5" s="1"/>
  <c r="AG123" i="5"/>
  <c r="AF123" i="5"/>
  <c r="AC123" i="5"/>
  <c r="AB123" i="5"/>
  <c r="Y123" i="5"/>
  <c r="X123" i="5"/>
  <c r="AJ122" i="5"/>
  <c r="AK122" i="5" s="1"/>
  <c r="AF122" i="5"/>
  <c r="AG122" i="5" s="1"/>
  <c r="AB122" i="5"/>
  <c r="AC122" i="5" s="1"/>
  <c r="X122" i="5"/>
  <c r="Y122" i="5" s="1"/>
  <c r="AJ121" i="5"/>
  <c r="AK121" i="5" s="1"/>
  <c r="AG121" i="5"/>
  <c r="AF121" i="5"/>
  <c r="AC121" i="5"/>
  <c r="AB121" i="5"/>
  <c r="Y121" i="5"/>
  <c r="X121" i="5"/>
  <c r="AK120" i="5"/>
  <c r="AJ120" i="5"/>
  <c r="AG120" i="5"/>
  <c r="AF120" i="5"/>
  <c r="AC120" i="5"/>
  <c r="AB120" i="5"/>
  <c r="Y120" i="5"/>
  <c r="X120" i="5"/>
  <c r="AK119" i="5"/>
  <c r="AJ119" i="5"/>
  <c r="AG119" i="5"/>
  <c r="AF119" i="5"/>
  <c r="AC119" i="5"/>
  <c r="AB119" i="5"/>
  <c r="Y119" i="5"/>
  <c r="X119" i="5"/>
  <c r="AK118" i="5"/>
  <c r="AJ118" i="5"/>
  <c r="AG118" i="5"/>
  <c r="AF118" i="5"/>
  <c r="AC118" i="5"/>
  <c r="AB118" i="5"/>
  <c r="Y118" i="5"/>
  <c r="X118" i="5"/>
  <c r="AK117" i="5"/>
  <c r="AJ117" i="5"/>
  <c r="AG117" i="5"/>
  <c r="AF117" i="5"/>
  <c r="AC117" i="5"/>
  <c r="AB117" i="5"/>
  <c r="Y117" i="5"/>
  <c r="X117" i="5"/>
  <c r="AK116" i="5"/>
  <c r="AJ116" i="5"/>
  <c r="AG116" i="5"/>
  <c r="AF116" i="5"/>
  <c r="AC116" i="5"/>
  <c r="AB116" i="5"/>
  <c r="Y116" i="5"/>
  <c r="X116" i="5"/>
  <c r="AK115" i="5"/>
  <c r="AJ115" i="5"/>
  <c r="AG115" i="5"/>
  <c r="AF115" i="5"/>
  <c r="AC115" i="5"/>
  <c r="AB115" i="5"/>
  <c r="Y115" i="5"/>
  <c r="X115" i="5"/>
  <c r="AK114" i="5"/>
  <c r="AJ114" i="5"/>
  <c r="AG114" i="5"/>
  <c r="AF114" i="5"/>
  <c r="AC114" i="5"/>
  <c r="AB114" i="5"/>
  <c r="Y114" i="5"/>
  <c r="X114" i="5"/>
  <c r="AK113" i="5"/>
  <c r="AJ113" i="5"/>
  <c r="AG113" i="5"/>
  <c r="AF113" i="5"/>
  <c r="AC113" i="5"/>
  <c r="AB113" i="5"/>
  <c r="Y113" i="5"/>
  <c r="X113" i="5"/>
  <c r="AK112" i="5"/>
  <c r="AJ112" i="5"/>
  <c r="AG112" i="5"/>
  <c r="AF112" i="5"/>
  <c r="AC112" i="5"/>
  <c r="AB112" i="5"/>
  <c r="Y112" i="5"/>
  <c r="X112" i="5"/>
  <c r="AK111" i="5"/>
  <c r="AJ111" i="5"/>
  <c r="AG111" i="5"/>
  <c r="AF111" i="5"/>
  <c r="AC111" i="5"/>
  <c r="AB111" i="5"/>
  <c r="Y111" i="5"/>
  <c r="X111" i="5"/>
  <c r="AK110" i="5"/>
  <c r="AJ110" i="5"/>
  <c r="AG110" i="5"/>
  <c r="AF110" i="5"/>
  <c r="AC110" i="5"/>
  <c r="AB110" i="5"/>
  <c r="Y110" i="5"/>
  <c r="X110" i="5"/>
  <c r="AK109" i="5"/>
  <c r="AJ109" i="5"/>
  <c r="AG109" i="5"/>
  <c r="AF109" i="5"/>
  <c r="AC109" i="5"/>
  <c r="AB109" i="5"/>
  <c r="Y109" i="5"/>
  <c r="X109" i="5"/>
  <c r="AK108" i="5"/>
  <c r="AJ108" i="5"/>
  <c r="AG108" i="5"/>
  <c r="AF108" i="5"/>
  <c r="AC108" i="5"/>
  <c r="AB108" i="5"/>
  <c r="Y108" i="5"/>
  <c r="X108" i="5"/>
  <c r="AK107" i="5"/>
  <c r="AJ107" i="5"/>
  <c r="AG107" i="5"/>
  <c r="AF107" i="5"/>
  <c r="AC107" i="5"/>
  <c r="AB107" i="5"/>
  <c r="Y107" i="5"/>
  <c r="X107" i="5"/>
  <c r="AK106" i="5"/>
  <c r="AJ106" i="5"/>
  <c r="AG106" i="5"/>
  <c r="AF106" i="5"/>
  <c r="AC106" i="5"/>
  <c r="AB106" i="5"/>
  <c r="Y106" i="5"/>
  <c r="X106" i="5"/>
  <c r="AK105" i="5"/>
  <c r="AJ105" i="5"/>
  <c r="AG105" i="5"/>
  <c r="AF105" i="5"/>
  <c r="AC105" i="5"/>
  <c r="AB105" i="5"/>
  <c r="Y105" i="5"/>
  <c r="X105" i="5"/>
  <c r="AK104" i="5"/>
  <c r="AJ104" i="5"/>
  <c r="AG104" i="5"/>
  <c r="AF104" i="5"/>
  <c r="AC104" i="5"/>
  <c r="AB104" i="5"/>
  <c r="Y104" i="5"/>
  <c r="X104" i="5"/>
  <c r="AK103" i="5"/>
  <c r="AJ103" i="5"/>
  <c r="AG103" i="5"/>
  <c r="AF103" i="5"/>
  <c r="AC103" i="5"/>
  <c r="AB103" i="5"/>
  <c r="Y103" i="5"/>
  <c r="X103" i="5"/>
  <c r="AK102" i="5"/>
  <c r="AJ102" i="5"/>
  <c r="AG102" i="5"/>
  <c r="AF102" i="5"/>
  <c r="AC102" i="5"/>
  <c r="AB102" i="5"/>
  <c r="Y102" i="5"/>
  <c r="X102" i="5"/>
  <c r="AK101" i="5"/>
  <c r="AJ101" i="5"/>
  <c r="AG101" i="5"/>
  <c r="AF101" i="5"/>
  <c r="AC101" i="5"/>
  <c r="AB101" i="5"/>
  <c r="Y101" i="5"/>
  <c r="X101" i="5"/>
  <c r="AK100" i="5"/>
  <c r="AJ100" i="5"/>
  <c r="AG100" i="5"/>
  <c r="AF100" i="5"/>
  <c r="AC100" i="5"/>
  <c r="AB100" i="5"/>
  <c r="Y100" i="5"/>
  <c r="X100" i="5"/>
  <c r="AK99" i="5"/>
  <c r="AJ99" i="5"/>
  <c r="AG99" i="5"/>
  <c r="AF99" i="5"/>
  <c r="AC99" i="5"/>
  <c r="AB99" i="5"/>
  <c r="Y99" i="5"/>
  <c r="X99" i="5"/>
  <c r="AK98" i="5"/>
  <c r="AJ98" i="5"/>
  <c r="AG98" i="5"/>
  <c r="AF98" i="5"/>
  <c r="AC98" i="5"/>
  <c r="AB98" i="5"/>
  <c r="Y98" i="5"/>
  <c r="X98" i="5"/>
  <c r="AK97" i="5"/>
  <c r="AJ97" i="5"/>
  <c r="AG97" i="5"/>
  <c r="AF97" i="5"/>
  <c r="AC97" i="5"/>
  <c r="AB97" i="5"/>
  <c r="Y97" i="5"/>
  <c r="X97" i="5"/>
  <c r="AK96" i="5"/>
  <c r="AJ96" i="5"/>
  <c r="AG96" i="5"/>
  <c r="AF96" i="5"/>
  <c r="AC96" i="5"/>
  <c r="AB96" i="5"/>
  <c r="Y96" i="5"/>
  <c r="X96" i="5"/>
  <c r="AK95" i="5"/>
  <c r="AJ95" i="5"/>
  <c r="AG95" i="5"/>
  <c r="AF95" i="5"/>
  <c r="AC95" i="5"/>
  <c r="AB95" i="5"/>
  <c r="Y95" i="5"/>
  <c r="X95" i="5"/>
  <c r="AK94" i="5"/>
  <c r="AJ94" i="5"/>
  <c r="AG94" i="5"/>
  <c r="AF94" i="5"/>
  <c r="AC94" i="5"/>
  <c r="AB94" i="5"/>
  <c r="Y94" i="5"/>
  <c r="X94" i="5"/>
  <c r="AK93" i="5"/>
  <c r="AJ93" i="5"/>
  <c r="AG93" i="5"/>
  <c r="AF93" i="5"/>
  <c r="AC93" i="5"/>
  <c r="AB93" i="5"/>
  <c r="Y93" i="5"/>
  <c r="X93" i="5"/>
  <c r="AK92" i="5"/>
  <c r="AJ92" i="5"/>
  <c r="AG92" i="5"/>
  <c r="AF92" i="5"/>
  <c r="AC92" i="5"/>
  <c r="AB92" i="5"/>
  <c r="Y92" i="5"/>
  <c r="X92" i="5"/>
  <c r="AK91" i="5"/>
  <c r="AJ91" i="5"/>
  <c r="AG91" i="5"/>
  <c r="AF91" i="5"/>
  <c r="AC91" i="5"/>
  <c r="AB91" i="5"/>
  <c r="Y91" i="5"/>
  <c r="X91" i="5"/>
  <c r="AK90" i="5"/>
  <c r="AJ90" i="5"/>
  <c r="AG90" i="5"/>
  <c r="AF90" i="5"/>
  <c r="AC90" i="5"/>
  <c r="AB90" i="5"/>
  <c r="Y90" i="5"/>
  <c r="X90" i="5"/>
  <c r="AK89" i="5"/>
  <c r="AJ89" i="5"/>
  <c r="AG89" i="5"/>
  <c r="AF89" i="5"/>
  <c r="AC89" i="5"/>
  <c r="AB89" i="5"/>
  <c r="Y89" i="5"/>
  <c r="X89" i="5"/>
  <c r="AK88" i="5"/>
  <c r="AJ88" i="5"/>
  <c r="AG88" i="5"/>
  <c r="AF88" i="5"/>
  <c r="AC88" i="5"/>
  <c r="AB88" i="5"/>
  <c r="Y88" i="5"/>
  <c r="X88" i="5"/>
  <c r="AK87" i="5"/>
  <c r="AJ87" i="5"/>
  <c r="AG87" i="5"/>
  <c r="AF87" i="5"/>
  <c r="AC87" i="5"/>
  <c r="AB87" i="5"/>
  <c r="Y87" i="5"/>
  <c r="X87" i="5"/>
  <c r="AK86" i="5"/>
  <c r="AJ86" i="5"/>
  <c r="AG86" i="5"/>
  <c r="AF86" i="5"/>
  <c r="AC86" i="5"/>
  <c r="AB86" i="5"/>
  <c r="Y86" i="5"/>
  <c r="X86" i="5"/>
  <c r="AK85" i="5"/>
  <c r="AJ85" i="5"/>
  <c r="AG85" i="5"/>
  <c r="AF85" i="5"/>
  <c r="AC85" i="5"/>
  <c r="AB85" i="5"/>
  <c r="Y85" i="5"/>
  <c r="X85" i="5"/>
  <c r="AK84" i="5"/>
  <c r="AJ84" i="5"/>
  <c r="AG84" i="5"/>
  <c r="AF84" i="5"/>
  <c r="AC84" i="5"/>
  <c r="AB84" i="5"/>
  <c r="Y84" i="5"/>
  <c r="X84" i="5"/>
  <c r="AK83" i="5"/>
  <c r="AJ83" i="5"/>
  <c r="AG83" i="5"/>
  <c r="AF83" i="5"/>
  <c r="AC83" i="5"/>
  <c r="AB83" i="5"/>
  <c r="Y83" i="5"/>
  <c r="X83" i="5"/>
  <c r="AK82" i="5"/>
  <c r="AJ82" i="5"/>
  <c r="AG82" i="5"/>
  <c r="AF82" i="5"/>
  <c r="AC82" i="5"/>
  <c r="AB82" i="5"/>
  <c r="Y82" i="5"/>
  <c r="X82" i="5"/>
  <c r="AK81" i="5"/>
  <c r="AJ81" i="5"/>
  <c r="AG81" i="5"/>
  <c r="AF81" i="5"/>
  <c r="AC81" i="5"/>
  <c r="AB81" i="5"/>
  <c r="Y81" i="5"/>
  <c r="X81" i="5"/>
  <c r="AK80" i="5"/>
  <c r="AJ80" i="5"/>
  <c r="AG80" i="5"/>
  <c r="AF80" i="5"/>
  <c r="AC80" i="5"/>
  <c r="AB80" i="5"/>
  <c r="Y80" i="5"/>
  <c r="X80" i="5"/>
  <c r="AK79" i="5"/>
  <c r="AJ79" i="5"/>
  <c r="AG79" i="5"/>
  <c r="AF79" i="5"/>
  <c r="AC79" i="5"/>
  <c r="AB79" i="5"/>
  <c r="Y79" i="5"/>
  <c r="X79" i="5"/>
  <c r="AK78" i="5"/>
  <c r="AJ78" i="5"/>
  <c r="AG78" i="5"/>
  <c r="AF78" i="5"/>
  <c r="AC78" i="5"/>
  <c r="AB78" i="5"/>
  <c r="Y78" i="5"/>
  <c r="X78" i="5"/>
  <c r="AK77" i="5"/>
  <c r="AJ77" i="5"/>
  <c r="AG77" i="5"/>
  <c r="AF77" i="5"/>
  <c r="AC77" i="5"/>
  <c r="AB77" i="5"/>
  <c r="Y77" i="5"/>
  <c r="X77" i="5"/>
  <c r="AK76" i="5"/>
  <c r="AJ76" i="5"/>
  <c r="AG76" i="5"/>
  <c r="AF76" i="5"/>
  <c r="AC76" i="5"/>
  <c r="AB76" i="5"/>
  <c r="Y76" i="5"/>
  <c r="X76" i="5"/>
  <c r="AK75" i="5"/>
  <c r="AJ75" i="5"/>
  <c r="AG75" i="5"/>
  <c r="AF75" i="5"/>
  <c r="AC75" i="5"/>
  <c r="AB75" i="5"/>
  <c r="Y75" i="5"/>
  <c r="X75" i="5"/>
  <c r="AK74" i="5"/>
  <c r="AJ74" i="5"/>
  <c r="AG74" i="5"/>
  <c r="AF74" i="5"/>
  <c r="AC74" i="5"/>
  <c r="AB74" i="5"/>
  <c r="Y74" i="5"/>
  <c r="X74" i="5"/>
  <c r="AK73" i="5"/>
  <c r="AJ73" i="5"/>
  <c r="AG73" i="5"/>
  <c r="AF73" i="5"/>
  <c r="AC73" i="5"/>
  <c r="AB73" i="5"/>
  <c r="Y73" i="5"/>
  <c r="X73" i="5"/>
  <c r="AK72" i="5"/>
  <c r="AJ72" i="5"/>
  <c r="AG72" i="5"/>
  <c r="AF72" i="5"/>
  <c r="AC72" i="5"/>
  <c r="AB72" i="5"/>
  <c r="Y72" i="5"/>
  <c r="X72" i="5"/>
  <c r="AK71" i="5"/>
  <c r="AJ71" i="5"/>
  <c r="AG71" i="5"/>
  <c r="AF71" i="5"/>
  <c r="AC71" i="5"/>
  <c r="AB71" i="5"/>
  <c r="X71" i="5"/>
  <c r="Y71" i="5" s="1"/>
  <c r="AK70" i="5"/>
  <c r="AJ70" i="5"/>
  <c r="AG70" i="5"/>
  <c r="AF70" i="5"/>
  <c r="AC70" i="5"/>
  <c r="AB70" i="5"/>
  <c r="X70" i="5"/>
  <c r="Y70" i="5" s="1"/>
  <c r="AK69" i="5"/>
  <c r="AJ69" i="5"/>
  <c r="AG69" i="5"/>
  <c r="AF69" i="5"/>
  <c r="AC69" i="5"/>
  <c r="AB69" i="5"/>
  <c r="X69" i="5"/>
  <c r="Y69" i="5" s="1"/>
  <c r="AK68" i="5"/>
  <c r="AJ68" i="5"/>
  <c r="AG68" i="5"/>
  <c r="AF68" i="5"/>
  <c r="AC68" i="5"/>
  <c r="AB68" i="5"/>
  <c r="X68" i="5"/>
  <c r="Y68" i="5" s="1"/>
  <c r="AK67" i="5"/>
  <c r="AJ67" i="5"/>
  <c r="AG67" i="5"/>
  <c r="AF67" i="5"/>
  <c r="AC67" i="5"/>
  <c r="AB67" i="5"/>
  <c r="X67" i="5"/>
  <c r="Y67" i="5" s="1"/>
  <c r="AK66" i="5"/>
  <c r="AJ66" i="5"/>
  <c r="AG66" i="5"/>
  <c r="AF66" i="5"/>
  <c r="AC66" i="5"/>
  <c r="AB66" i="5"/>
  <c r="X66" i="5"/>
  <c r="Y66" i="5" s="1"/>
  <c r="AK65" i="5"/>
  <c r="AJ65" i="5"/>
  <c r="AG65" i="5"/>
  <c r="AF65" i="5"/>
  <c r="AC65" i="5"/>
  <c r="AB65" i="5"/>
  <c r="X65" i="5"/>
  <c r="Y65" i="5" s="1"/>
  <c r="AK64" i="5"/>
  <c r="AJ64" i="5"/>
  <c r="AG64" i="5"/>
  <c r="AF64" i="5"/>
  <c r="AC64" i="5"/>
  <c r="AB64" i="5"/>
  <c r="X64" i="5"/>
  <c r="Y64" i="5" s="1"/>
  <c r="AK63" i="5"/>
  <c r="AJ63" i="5"/>
  <c r="AG63" i="5"/>
  <c r="AF63" i="5"/>
  <c r="AC63" i="5"/>
  <c r="AB63" i="5"/>
  <c r="X63" i="5"/>
  <c r="Y63" i="5" s="1"/>
  <c r="AK62" i="5"/>
  <c r="AJ62" i="5"/>
  <c r="AG62" i="5"/>
  <c r="AF62" i="5"/>
  <c r="AC62" i="5"/>
  <c r="AB62" i="5"/>
  <c r="X62" i="5"/>
  <c r="Y62" i="5" s="1"/>
  <c r="AK61" i="5"/>
  <c r="AJ61" i="5"/>
  <c r="AG61" i="5"/>
  <c r="AF61" i="5"/>
  <c r="AC61" i="5"/>
  <c r="AB61" i="5"/>
  <c r="X61" i="5"/>
  <c r="Y61" i="5" s="1"/>
  <c r="AK60" i="5"/>
  <c r="AJ60" i="5"/>
  <c r="AG60" i="5"/>
  <c r="AF60" i="5"/>
  <c r="AC60" i="5"/>
  <c r="AB60" i="5"/>
  <c r="X60" i="5"/>
  <c r="Y60" i="5" s="1"/>
  <c r="AK59" i="5"/>
  <c r="AJ59" i="5"/>
  <c r="AG59" i="5"/>
  <c r="AF59" i="5"/>
  <c r="AC59" i="5"/>
  <c r="AB59" i="5"/>
  <c r="X59" i="5"/>
  <c r="Y59" i="5" s="1"/>
  <c r="AK58" i="5"/>
  <c r="AJ58" i="5"/>
  <c r="AG58" i="5"/>
  <c r="AF58" i="5"/>
  <c r="AC58" i="5"/>
  <c r="AB58" i="5"/>
  <c r="X58" i="5"/>
  <c r="Y58" i="5" s="1"/>
  <c r="AK57" i="5"/>
  <c r="AJ57" i="5"/>
  <c r="AG57" i="5"/>
  <c r="AF57" i="5"/>
  <c r="AC57" i="5"/>
  <c r="AB57" i="5"/>
  <c r="X57" i="5"/>
  <c r="Y57" i="5" s="1"/>
  <c r="AK56" i="5"/>
  <c r="AJ56" i="5"/>
  <c r="AG56" i="5"/>
  <c r="AF56" i="5"/>
  <c r="AC56" i="5"/>
  <c r="AB56" i="5"/>
  <c r="X56" i="5"/>
  <c r="Y56" i="5" s="1"/>
  <c r="AK55" i="5"/>
  <c r="AJ55" i="5"/>
  <c r="AG55" i="5"/>
  <c r="AF55" i="5"/>
  <c r="AC55" i="5"/>
  <c r="AB55" i="5"/>
  <c r="X55" i="5"/>
  <c r="Y55" i="5" s="1"/>
  <c r="AK54" i="5"/>
  <c r="AJ54" i="5"/>
  <c r="AG54" i="5"/>
  <c r="AF54" i="5"/>
  <c r="AC54" i="5"/>
  <c r="AB54" i="5"/>
  <c r="X54" i="5"/>
  <c r="Y54" i="5" s="1"/>
  <c r="AK53" i="5"/>
  <c r="AJ53" i="5"/>
  <c r="AG53" i="5"/>
  <c r="AF53" i="5"/>
  <c r="AC53" i="5"/>
  <c r="AB53" i="5"/>
  <c r="X53" i="5"/>
  <c r="Y53" i="5" s="1"/>
  <c r="AK52" i="5"/>
  <c r="AJ52" i="5"/>
  <c r="AG52" i="5"/>
  <c r="AF52" i="5"/>
  <c r="AC52" i="5"/>
  <c r="AB52" i="5"/>
  <c r="X52" i="5"/>
  <c r="Y52" i="5" s="1"/>
  <c r="AK51" i="5"/>
  <c r="AJ51" i="5"/>
  <c r="AG51" i="5"/>
  <c r="AF51" i="5"/>
  <c r="AC51" i="5"/>
  <c r="AB51" i="5"/>
  <c r="X51" i="5"/>
  <c r="Y51" i="5" s="1"/>
  <c r="AK50" i="5"/>
  <c r="AJ50" i="5"/>
  <c r="AG50" i="5"/>
  <c r="AF50" i="5"/>
  <c r="AC50" i="5"/>
  <c r="AB50" i="5"/>
  <c r="X50" i="5"/>
  <c r="Y50" i="5" s="1"/>
  <c r="AK49" i="5"/>
  <c r="AJ49" i="5"/>
  <c r="AG49" i="5"/>
  <c r="AF49" i="5"/>
  <c r="AC49" i="5"/>
  <c r="AB49" i="5"/>
  <c r="X49" i="5"/>
  <c r="Y49" i="5" s="1"/>
  <c r="AK48" i="5"/>
  <c r="AJ48" i="5"/>
  <c r="AG48" i="5"/>
  <c r="AF48" i="5"/>
  <c r="AC48" i="5"/>
  <c r="AB48" i="5"/>
  <c r="X48" i="5"/>
  <c r="Y48" i="5" s="1"/>
  <c r="AK47" i="5"/>
  <c r="AJ47" i="5"/>
  <c r="AG47" i="5"/>
  <c r="AF47" i="5"/>
  <c r="AC47" i="5"/>
  <c r="AB47" i="5"/>
  <c r="X47" i="5"/>
  <c r="Y47" i="5" s="1"/>
  <c r="AK46" i="5"/>
  <c r="AJ46" i="5"/>
  <c r="AG46" i="5"/>
  <c r="AF46" i="5"/>
  <c r="AC46" i="5"/>
  <c r="AB46" i="5"/>
  <c r="X46" i="5"/>
  <c r="Y46" i="5" s="1"/>
  <c r="AK45" i="5"/>
  <c r="AJ45" i="5"/>
  <c r="AG45" i="5"/>
  <c r="AF45" i="5"/>
  <c r="AC45" i="5"/>
  <c r="AB45" i="5"/>
  <c r="X45" i="5"/>
  <c r="Y45" i="5" s="1"/>
  <c r="AK44" i="5"/>
  <c r="AJ44" i="5"/>
  <c r="AG44" i="5"/>
  <c r="AF44" i="5"/>
  <c r="AC44" i="5"/>
  <c r="AB44" i="5"/>
  <c r="X44" i="5"/>
  <c r="Y44" i="5" s="1"/>
  <c r="AK43" i="5"/>
  <c r="AJ43" i="5"/>
  <c r="AG43" i="5"/>
  <c r="AF43" i="5"/>
  <c r="AC43" i="5"/>
  <c r="AB43" i="5"/>
  <c r="X43" i="5"/>
  <c r="Y43" i="5" s="1"/>
  <c r="AK42" i="5"/>
  <c r="AJ42" i="5"/>
  <c r="AG42" i="5"/>
  <c r="AF42" i="5"/>
  <c r="AC42" i="5"/>
  <c r="AB42" i="5"/>
  <c r="X42" i="5"/>
  <c r="Y42" i="5" s="1"/>
  <c r="AK41" i="5"/>
  <c r="AJ41" i="5"/>
  <c r="AG41" i="5"/>
  <c r="AF41" i="5"/>
  <c r="AC41" i="5"/>
  <c r="AB41" i="5"/>
  <c r="X41" i="5"/>
  <c r="Y41" i="5" s="1"/>
  <c r="AK40" i="5"/>
  <c r="AJ40" i="5"/>
  <c r="AG40" i="5"/>
  <c r="AF40" i="5"/>
  <c r="AC40" i="5"/>
  <c r="AB40" i="5"/>
  <c r="X40" i="5"/>
  <c r="Y40" i="5" s="1"/>
  <c r="AK39" i="5"/>
  <c r="AJ39" i="5"/>
  <c r="AG39" i="5"/>
  <c r="AF39" i="5"/>
  <c r="AC39" i="5"/>
  <c r="AB39" i="5"/>
  <c r="X39" i="5"/>
  <c r="Y39" i="5" s="1"/>
  <c r="AK38" i="5"/>
  <c r="AJ38" i="5"/>
  <c r="AG38" i="5"/>
  <c r="AF38" i="5"/>
  <c r="AC38" i="5"/>
  <c r="AB38" i="5"/>
  <c r="X38" i="5"/>
  <c r="Y38" i="5" s="1"/>
  <c r="AK37" i="5"/>
  <c r="AJ37" i="5"/>
  <c r="AG37" i="5"/>
  <c r="AF37" i="5"/>
  <c r="AC37" i="5"/>
  <c r="AB37" i="5"/>
  <c r="X37" i="5"/>
  <c r="Y37" i="5" s="1"/>
  <c r="AK36" i="5"/>
  <c r="AJ36" i="5"/>
  <c r="AG36" i="5"/>
  <c r="AF36" i="5"/>
  <c r="AC36" i="5"/>
  <c r="AB36" i="5"/>
  <c r="X36" i="5"/>
  <c r="Y36" i="5" s="1"/>
  <c r="AK35" i="5"/>
  <c r="AJ35" i="5"/>
  <c r="AG35" i="5"/>
  <c r="AF35" i="5"/>
  <c r="AC35" i="5"/>
  <c r="AB35" i="5"/>
  <c r="X35" i="5"/>
  <c r="Y35" i="5" s="1"/>
  <c r="AK34" i="5"/>
  <c r="AJ34" i="5"/>
  <c r="AG34" i="5"/>
  <c r="AF34" i="5"/>
  <c r="AC34" i="5"/>
  <c r="AB34" i="5"/>
  <c r="X34" i="5"/>
  <c r="Y34" i="5" s="1"/>
  <c r="AK33" i="5"/>
  <c r="AJ33" i="5"/>
  <c r="AG33" i="5"/>
  <c r="AF33" i="5"/>
  <c r="AC33" i="5"/>
  <c r="AB33" i="5"/>
  <c r="X33" i="5"/>
  <c r="Y33" i="5" s="1"/>
  <c r="AK32" i="5"/>
  <c r="AJ32" i="5"/>
  <c r="AG32" i="5"/>
  <c r="AF32" i="5"/>
  <c r="AC32" i="5"/>
  <c r="AB32" i="5"/>
  <c r="X32" i="5"/>
  <c r="Y32" i="5" s="1"/>
  <c r="AK31" i="5"/>
  <c r="AJ31" i="5"/>
  <c r="AG31" i="5"/>
  <c r="AF31" i="5"/>
  <c r="AC31" i="5"/>
  <c r="AB31" i="5"/>
  <c r="X31" i="5"/>
  <c r="Y31" i="5" s="1"/>
  <c r="AK30" i="5"/>
  <c r="AJ30" i="5"/>
  <c r="AG30" i="5"/>
  <c r="AF30" i="5"/>
  <c r="AC30" i="5"/>
  <c r="AB30" i="5"/>
  <c r="X30" i="5"/>
  <c r="Y30" i="5" s="1"/>
  <c r="AK29" i="5"/>
  <c r="AJ29" i="5"/>
  <c r="AG29" i="5"/>
  <c r="AF29" i="5"/>
  <c r="AC29" i="5"/>
  <c r="AB29" i="5"/>
  <c r="X29" i="5"/>
  <c r="Y29" i="5" s="1"/>
  <c r="AK28" i="5"/>
  <c r="AJ28" i="5"/>
  <c r="AG28" i="5"/>
  <c r="AF28" i="5"/>
  <c r="AC28" i="5"/>
  <c r="AB28" i="5"/>
  <c r="X28" i="5"/>
  <c r="Y28" i="5" s="1"/>
  <c r="AK27" i="5"/>
  <c r="AJ27" i="5"/>
  <c r="AG27" i="5"/>
  <c r="AF27" i="5"/>
  <c r="AC27" i="5"/>
  <c r="AB27" i="5"/>
  <c r="X27" i="5"/>
  <c r="Y27" i="5" s="1"/>
  <c r="AK26" i="5"/>
  <c r="AJ26" i="5"/>
  <c r="AG26" i="5"/>
  <c r="AF26" i="5"/>
  <c r="AC26" i="5"/>
  <c r="AB26" i="5"/>
  <c r="X26" i="5"/>
  <c r="Y26" i="5" s="1"/>
  <c r="AK25" i="5"/>
  <c r="AJ25" i="5"/>
  <c r="AG25" i="5"/>
  <c r="AF25" i="5"/>
  <c r="AC25" i="5"/>
  <c r="AB25" i="5"/>
  <c r="X25" i="5"/>
  <c r="Y25" i="5" s="1"/>
  <c r="AK24" i="5"/>
  <c r="AJ24" i="5"/>
  <c r="AG24" i="5"/>
  <c r="AF24" i="5"/>
  <c r="AC24" i="5"/>
  <c r="AB24" i="5"/>
  <c r="X24" i="5"/>
  <c r="Y24" i="5" s="1"/>
  <c r="AK23" i="5"/>
  <c r="AJ23" i="5"/>
  <c r="AG23" i="5"/>
  <c r="AF23" i="5"/>
  <c r="AC23" i="5"/>
  <c r="AB23" i="5"/>
  <c r="X23" i="5"/>
  <c r="Y23" i="5" s="1"/>
  <c r="AK22" i="5"/>
  <c r="AJ22" i="5"/>
  <c r="AG22" i="5"/>
  <c r="AF22" i="5"/>
  <c r="AC22" i="5"/>
  <c r="AB22" i="5"/>
  <c r="X22" i="5"/>
  <c r="Y22" i="5" s="1"/>
  <c r="AK21" i="5"/>
  <c r="AJ21" i="5"/>
  <c r="AG21" i="5"/>
  <c r="AF21" i="5"/>
  <c r="AC21" i="5"/>
  <c r="AB21" i="5"/>
  <c r="X21" i="5"/>
  <c r="Y21" i="5" s="1"/>
  <c r="AK20" i="5"/>
  <c r="AJ20" i="5"/>
  <c r="AG20" i="5"/>
  <c r="AF20" i="5"/>
  <c r="AC20" i="5"/>
  <c r="AB20" i="5"/>
  <c r="X20" i="5"/>
  <c r="Y20" i="5" s="1"/>
  <c r="AK19" i="5"/>
  <c r="AJ19" i="5"/>
  <c r="AG19" i="5"/>
  <c r="AF19" i="5"/>
  <c r="AC19" i="5"/>
  <c r="AB19" i="5"/>
  <c r="X19" i="5"/>
  <c r="Y19" i="5" s="1"/>
  <c r="AK18" i="5"/>
  <c r="AJ18" i="5"/>
  <c r="AG18" i="5"/>
  <c r="AF18" i="5"/>
  <c r="AC18" i="5"/>
  <c r="AB18" i="5"/>
  <c r="X18" i="5"/>
  <c r="Y18" i="5" s="1"/>
  <c r="AK17" i="5"/>
  <c r="AJ17" i="5"/>
  <c r="AG17" i="5"/>
  <c r="AF17" i="5"/>
  <c r="AC17" i="5"/>
  <c r="AB17" i="5"/>
  <c r="X17" i="5"/>
  <c r="Y17" i="5" s="1"/>
  <c r="AK16" i="5"/>
  <c r="AJ16" i="5"/>
  <c r="AG16" i="5"/>
  <c r="AF16" i="5"/>
  <c r="AC16" i="5"/>
  <c r="AB16" i="5"/>
  <c r="X16" i="5"/>
  <c r="Y16" i="5" s="1"/>
  <c r="AK15" i="5"/>
  <c r="AK7" i="5" s="1"/>
  <c r="AJ15" i="5"/>
  <c r="AG15" i="5"/>
  <c r="AF15" i="5"/>
  <c r="AC15" i="5"/>
  <c r="AC8" i="5" s="1"/>
  <c r="AB15" i="5"/>
  <c r="X15" i="5"/>
  <c r="Y8" i="5" s="1"/>
  <c r="AG8" i="5" l="1"/>
  <c r="Y7" i="5"/>
  <c r="AC3" i="5"/>
  <c r="AC4" i="5" s="1"/>
  <c r="AC5" i="5"/>
  <c r="AC6" i="5" s="1"/>
  <c r="AC7" i="5"/>
  <c r="Y15" i="5"/>
  <c r="AG3" i="5"/>
  <c r="AG4" i="5" s="1"/>
  <c r="AG5" i="5"/>
  <c r="AG6" i="5" s="1"/>
  <c r="AG7" i="5"/>
  <c r="AK3" i="5"/>
  <c r="AK4" i="5" s="1"/>
  <c r="AK5" i="5"/>
  <c r="AK6" i="5" s="1"/>
  <c r="Y5" i="5" l="1"/>
  <c r="Y6" i="5" s="1"/>
  <c r="Y3" i="5"/>
  <c r="Y4" i="5" s="1"/>
  <c r="P17" i="5" l="1"/>
  <c r="M263" i="5"/>
  <c r="M262" i="5"/>
  <c r="M261" i="5"/>
  <c r="M260" i="5"/>
  <c r="M259" i="5"/>
  <c r="M258" i="5"/>
  <c r="M257" i="5"/>
  <c r="M256" i="5"/>
  <c r="M255" i="5"/>
  <c r="M254" i="5"/>
  <c r="M253" i="5"/>
  <c r="M252" i="5"/>
  <c r="M251" i="5"/>
  <c r="M250" i="5"/>
  <c r="M249" i="5"/>
  <c r="M248" i="5"/>
  <c r="M247" i="5"/>
  <c r="M246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15" i="5"/>
  <c r="L16" i="5"/>
  <c r="L17" i="5"/>
  <c r="L18" i="5"/>
  <c r="D18" i="5"/>
  <c r="D15" i="5"/>
  <c r="D17" i="5"/>
  <c r="U5" i="5"/>
  <c r="U6" i="5" s="1"/>
  <c r="F17" i="1" s="1"/>
  <c r="U3" i="5"/>
  <c r="U4" i="5" s="1"/>
  <c r="E17" i="1" s="1"/>
  <c r="U8" i="5"/>
  <c r="P15" i="5"/>
  <c r="D4" i="1"/>
  <c r="D16" i="5" l="1"/>
  <c r="E18" i="5"/>
  <c r="D19" i="5"/>
  <c r="E19" i="5" s="1"/>
  <c r="D20" i="5"/>
  <c r="E20" i="5" s="1"/>
  <c r="D21" i="5"/>
  <c r="E21" i="5" s="1"/>
  <c r="D22" i="5"/>
  <c r="E22" i="5" s="1"/>
  <c r="D23" i="5"/>
  <c r="E23" i="5" s="1"/>
  <c r="D24" i="5"/>
  <c r="E24" i="5" s="1"/>
  <c r="D25" i="5"/>
  <c r="E25" i="5" s="1"/>
  <c r="D26" i="5"/>
  <c r="E26" i="5" s="1"/>
  <c r="D27" i="5"/>
  <c r="E27" i="5" s="1"/>
  <c r="D28" i="5"/>
  <c r="E28" i="5" s="1"/>
  <c r="D29" i="5"/>
  <c r="E29" i="5" s="1"/>
  <c r="D30" i="5"/>
  <c r="E30" i="5" s="1"/>
  <c r="D31" i="5"/>
  <c r="E31" i="5" s="1"/>
  <c r="D32" i="5"/>
  <c r="E32" i="5" s="1"/>
  <c r="D33" i="5"/>
  <c r="E33" i="5" s="1"/>
  <c r="D34" i="5"/>
  <c r="E34" i="5" s="1"/>
  <c r="D35" i="5"/>
  <c r="E35" i="5" s="1"/>
  <c r="D36" i="5"/>
  <c r="E36" i="5" s="1"/>
  <c r="D37" i="5"/>
  <c r="E37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D59" i="5"/>
  <c r="E59" i="5" s="1"/>
  <c r="D60" i="5"/>
  <c r="E60" i="5" s="1"/>
  <c r="D61" i="5"/>
  <c r="E61" i="5" s="1"/>
  <c r="D62" i="5"/>
  <c r="E62" i="5" s="1"/>
  <c r="D63" i="5"/>
  <c r="E63" i="5" s="1"/>
  <c r="D64" i="5"/>
  <c r="E64" i="5" s="1"/>
  <c r="D65" i="5"/>
  <c r="E65" i="5" s="1"/>
  <c r="D66" i="5"/>
  <c r="E66" i="5" s="1"/>
  <c r="D67" i="5"/>
  <c r="E67" i="5" s="1"/>
  <c r="D68" i="5"/>
  <c r="E68" i="5" s="1"/>
  <c r="D69" i="5"/>
  <c r="E69" i="5" s="1"/>
  <c r="D70" i="5"/>
  <c r="E70" i="5" s="1"/>
  <c r="D71" i="5"/>
  <c r="E71" i="5" s="1"/>
  <c r="D72" i="5"/>
  <c r="E72" i="5" s="1"/>
  <c r="D73" i="5"/>
  <c r="E73" i="5" s="1"/>
  <c r="D74" i="5"/>
  <c r="E74" i="5" s="1"/>
  <c r="D75" i="5"/>
  <c r="E75" i="5" s="1"/>
  <c r="D76" i="5"/>
  <c r="E76" i="5" s="1"/>
  <c r="D77" i="5"/>
  <c r="E77" i="5" s="1"/>
  <c r="D78" i="5"/>
  <c r="E78" i="5" s="1"/>
  <c r="D79" i="5"/>
  <c r="E79" i="5" s="1"/>
  <c r="D80" i="5"/>
  <c r="E80" i="5" s="1"/>
  <c r="D81" i="5"/>
  <c r="E81" i="5" s="1"/>
  <c r="D82" i="5"/>
  <c r="E82" i="5" s="1"/>
  <c r="D83" i="5"/>
  <c r="E83" i="5" s="1"/>
  <c r="D84" i="5"/>
  <c r="E84" i="5" s="1"/>
  <c r="D85" i="5"/>
  <c r="E85" i="5" s="1"/>
  <c r="D86" i="5"/>
  <c r="E86" i="5" s="1"/>
  <c r="D87" i="5"/>
  <c r="E87" i="5" s="1"/>
  <c r="D88" i="5"/>
  <c r="E88" i="5" s="1"/>
  <c r="D89" i="5"/>
  <c r="E89" i="5" s="1"/>
  <c r="D90" i="5"/>
  <c r="E90" i="5" s="1"/>
  <c r="D91" i="5"/>
  <c r="E91" i="5" s="1"/>
  <c r="D92" i="5"/>
  <c r="E92" i="5" s="1"/>
  <c r="D93" i="5"/>
  <c r="E93" i="5" s="1"/>
  <c r="D94" i="5"/>
  <c r="E94" i="5" s="1"/>
  <c r="D95" i="5"/>
  <c r="E95" i="5" s="1"/>
  <c r="D96" i="5"/>
  <c r="E96" i="5" s="1"/>
  <c r="D97" i="5"/>
  <c r="E97" i="5" s="1"/>
  <c r="D98" i="5"/>
  <c r="E98" i="5" s="1"/>
  <c r="D99" i="5"/>
  <c r="E99" i="5" s="1"/>
  <c r="D100" i="5"/>
  <c r="E100" i="5" s="1"/>
  <c r="D101" i="5"/>
  <c r="E101" i="5" s="1"/>
  <c r="D102" i="5"/>
  <c r="E102" i="5" s="1"/>
  <c r="D103" i="5"/>
  <c r="E103" i="5" s="1"/>
  <c r="D104" i="5"/>
  <c r="E104" i="5" s="1"/>
  <c r="D105" i="5"/>
  <c r="E105" i="5" s="1"/>
  <c r="D106" i="5"/>
  <c r="E106" i="5" s="1"/>
  <c r="D107" i="5"/>
  <c r="E107" i="5" s="1"/>
  <c r="D108" i="5"/>
  <c r="E108" i="5" s="1"/>
  <c r="D109" i="5"/>
  <c r="E109" i="5" s="1"/>
  <c r="D110" i="5"/>
  <c r="E110" i="5" s="1"/>
  <c r="D111" i="5"/>
  <c r="E111" i="5" s="1"/>
  <c r="D112" i="5"/>
  <c r="E112" i="5" s="1"/>
  <c r="D113" i="5"/>
  <c r="E113" i="5" s="1"/>
  <c r="D114" i="5"/>
  <c r="E114" i="5" s="1"/>
  <c r="D115" i="5"/>
  <c r="E115" i="5" s="1"/>
  <c r="D116" i="5"/>
  <c r="E116" i="5" s="1"/>
  <c r="D117" i="5"/>
  <c r="E117" i="5" s="1"/>
  <c r="D118" i="5"/>
  <c r="E118" i="5" s="1"/>
  <c r="D119" i="5"/>
  <c r="E119" i="5" s="1"/>
  <c r="D120" i="5"/>
  <c r="E120" i="5" s="1"/>
  <c r="D121" i="5"/>
  <c r="E121" i="5" s="1"/>
  <c r="D122" i="5"/>
  <c r="E122" i="5" s="1"/>
  <c r="D123" i="5"/>
  <c r="E123" i="5" s="1"/>
  <c r="D124" i="5"/>
  <c r="E124" i="5" s="1"/>
  <c r="D125" i="5"/>
  <c r="E125" i="5" s="1"/>
  <c r="D126" i="5"/>
  <c r="E126" i="5" s="1"/>
  <c r="D127" i="5"/>
  <c r="E127" i="5" s="1"/>
  <c r="D128" i="5"/>
  <c r="E128" i="5" s="1"/>
  <c r="D129" i="5"/>
  <c r="E129" i="5" s="1"/>
  <c r="D130" i="5"/>
  <c r="E130" i="5" s="1"/>
  <c r="D131" i="5"/>
  <c r="E131" i="5" s="1"/>
  <c r="D132" i="5"/>
  <c r="E132" i="5" s="1"/>
  <c r="D133" i="5"/>
  <c r="E133" i="5" s="1"/>
  <c r="D134" i="5"/>
  <c r="E134" i="5" s="1"/>
  <c r="D135" i="5"/>
  <c r="E135" i="5" s="1"/>
  <c r="D136" i="5"/>
  <c r="E136" i="5" s="1"/>
  <c r="D137" i="5"/>
  <c r="E137" i="5" s="1"/>
  <c r="D138" i="5"/>
  <c r="E138" i="5" s="1"/>
  <c r="D139" i="5"/>
  <c r="E139" i="5" s="1"/>
  <c r="D140" i="5"/>
  <c r="E140" i="5" s="1"/>
  <c r="D141" i="5"/>
  <c r="E141" i="5" s="1"/>
  <c r="D142" i="5"/>
  <c r="E142" i="5" s="1"/>
  <c r="D143" i="5"/>
  <c r="E143" i="5" s="1"/>
  <c r="D144" i="5"/>
  <c r="E144" i="5" s="1"/>
  <c r="D145" i="5"/>
  <c r="E145" i="5" s="1"/>
  <c r="D146" i="5"/>
  <c r="E146" i="5" s="1"/>
  <c r="D147" i="5"/>
  <c r="E147" i="5" s="1"/>
  <c r="D148" i="5"/>
  <c r="E148" i="5" s="1"/>
  <c r="D149" i="5"/>
  <c r="E149" i="5" s="1"/>
  <c r="D150" i="5"/>
  <c r="E150" i="5" s="1"/>
  <c r="D151" i="5"/>
  <c r="E151" i="5" s="1"/>
  <c r="D152" i="5"/>
  <c r="E152" i="5" s="1"/>
  <c r="D153" i="5"/>
  <c r="E153" i="5" s="1"/>
  <c r="D154" i="5"/>
  <c r="E154" i="5" s="1"/>
  <c r="D155" i="5"/>
  <c r="E155" i="5" s="1"/>
  <c r="D156" i="5"/>
  <c r="E156" i="5" s="1"/>
  <c r="D157" i="5"/>
  <c r="E157" i="5" s="1"/>
  <c r="D158" i="5"/>
  <c r="E158" i="5" s="1"/>
  <c r="D159" i="5"/>
  <c r="E159" i="5" s="1"/>
  <c r="D160" i="5"/>
  <c r="E160" i="5" s="1"/>
  <c r="D161" i="5"/>
  <c r="E161" i="5" s="1"/>
  <c r="D162" i="5"/>
  <c r="E162" i="5" s="1"/>
  <c r="D163" i="5"/>
  <c r="E163" i="5" s="1"/>
  <c r="D164" i="5"/>
  <c r="E164" i="5" s="1"/>
  <c r="D165" i="5"/>
  <c r="E165" i="5" s="1"/>
  <c r="D166" i="5"/>
  <c r="E166" i="5" s="1"/>
  <c r="D167" i="5"/>
  <c r="E167" i="5" s="1"/>
  <c r="D168" i="5"/>
  <c r="E168" i="5" s="1"/>
  <c r="D169" i="5"/>
  <c r="E169" i="5" s="1"/>
  <c r="D170" i="5"/>
  <c r="E170" i="5" s="1"/>
  <c r="D171" i="5"/>
  <c r="E171" i="5" s="1"/>
  <c r="D172" i="5"/>
  <c r="E172" i="5" s="1"/>
  <c r="D173" i="5"/>
  <c r="E173" i="5" s="1"/>
  <c r="D174" i="5"/>
  <c r="E174" i="5" s="1"/>
  <c r="D175" i="5"/>
  <c r="E175" i="5" s="1"/>
  <c r="D176" i="5"/>
  <c r="E176" i="5" s="1"/>
  <c r="D177" i="5"/>
  <c r="E177" i="5" s="1"/>
  <c r="D178" i="5"/>
  <c r="E178" i="5" s="1"/>
  <c r="D179" i="5"/>
  <c r="E179" i="5" s="1"/>
  <c r="D180" i="5"/>
  <c r="E180" i="5" s="1"/>
  <c r="D181" i="5"/>
  <c r="E181" i="5" s="1"/>
  <c r="D182" i="5"/>
  <c r="E182" i="5" s="1"/>
  <c r="D183" i="5"/>
  <c r="E183" i="5" s="1"/>
  <c r="D184" i="5"/>
  <c r="E184" i="5" s="1"/>
  <c r="D185" i="5"/>
  <c r="E185" i="5" s="1"/>
  <c r="D186" i="5"/>
  <c r="E186" i="5" s="1"/>
  <c r="D187" i="5"/>
  <c r="E187" i="5" s="1"/>
  <c r="D188" i="5"/>
  <c r="E188" i="5" s="1"/>
  <c r="D189" i="5"/>
  <c r="E189" i="5" s="1"/>
  <c r="D190" i="5"/>
  <c r="E190" i="5" s="1"/>
  <c r="D191" i="5"/>
  <c r="E191" i="5" s="1"/>
  <c r="D192" i="5"/>
  <c r="E192" i="5" s="1"/>
  <c r="D193" i="5"/>
  <c r="E193" i="5" s="1"/>
  <c r="D194" i="5"/>
  <c r="E194" i="5" s="1"/>
  <c r="D195" i="5"/>
  <c r="E195" i="5" s="1"/>
  <c r="D196" i="5"/>
  <c r="E196" i="5" s="1"/>
  <c r="D197" i="5"/>
  <c r="E197" i="5" s="1"/>
  <c r="D198" i="5"/>
  <c r="E198" i="5" s="1"/>
  <c r="D199" i="5"/>
  <c r="E199" i="5" s="1"/>
  <c r="D200" i="5"/>
  <c r="E200" i="5" s="1"/>
  <c r="D201" i="5"/>
  <c r="E201" i="5" s="1"/>
  <c r="D202" i="5"/>
  <c r="E202" i="5" s="1"/>
  <c r="D203" i="5"/>
  <c r="E203" i="5" s="1"/>
  <c r="D204" i="5"/>
  <c r="E204" i="5" s="1"/>
  <c r="D205" i="5"/>
  <c r="E205" i="5" s="1"/>
  <c r="D206" i="5"/>
  <c r="E206" i="5" s="1"/>
  <c r="D207" i="5"/>
  <c r="E207" i="5" s="1"/>
  <c r="D208" i="5"/>
  <c r="E208" i="5" s="1"/>
  <c r="D209" i="5"/>
  <c r="E209" i="5" s="1"/>
  <c r="D210" i="5"/>
  <c r="E210" i="5" s="1"/>
  <c r="D211" i="5"/>
  <c r="E211" i="5" s="1"/>
  <c r="D212" i="5"/>
  <c r="E212" i="5" s="1"/>
  <c r="D213" i="5"/>
  <c r="E213" i="5" s="1"/>
  <c r="D214" i="5"/>
  <c r="E214" i="5" s="1"/>
  <c r="D215" i="5"/>
  <c r="E215" i="5" s="1"/>
  <c r="D216" i="5"/>
  <c r="E216" i="5" s="1"/>
  <c r="D217" i="5"/>
  <c r="E217" i="5" s="1"/>
  <c r="D218" i="5"/>
  <c r="E218" i="5" s="1"/>
  <c r="D219" i="5"/>
  <c r="E219" i="5" s="1"/>
  <c r="D220" i="5"/>
  <c r="E220" i="5" s="1"/>
  <c r="D221" i="5"/>
  <c r="E221" i="5" s="1"/>
  <c r="D222" i="5"/>
  <c r="E222" i="5" s="1"/>
  <c r="D223" i="5"/>
  <c r="E223" i="5" s="1"/>
  <c r="D224" i="5"/>
  <c r="E224" i="5" s="1"/>
  <c r="D225" i="5"/>
  <c r="E225" i="5" s="1"/>
  <c r="D226" i="5"/>
  <c r="E226" i="5" s="1"/>
  <c r="D227" i="5"/>
  <c r="E227" i="5" s="1"/>
  <c r="D228" i="5"/>
  <c r="E228" i="5" s="1"/>
  <c r="D229" i="5"/>
  <c r="E229" i="5" s="1"/>
  <c r="D230" i="5"/>
  <c r="E230" i="5" s="1"/>
  <c r="D231" i="5"/>
  <c r="E231" i="5" s="1"/>
  <c r="D232" i="5"/>
  <c r="E232" i="5" s="1"/>
  <c r="D233" i="5"/>
  <c r="E233" i="5" s="1"/>
  <c r="D234" i="5"/>
  <c r="E234" i="5" s="1"/>
  <c r="D235" i="5"/>
  <c r="E235" i="5" s="1"/>
  <c r="D236" i="5"/>
  <c r="E236" i="5" s="1"/>
  <c r="D237" i="5"/>
  <c r="E237" i="5" s="1"/>
  <c r="D238" i="5"/>
  <c r="E238" i="5" s="1"/>
  <c r="D239" i="5"/>
  <c r="E239" i="5" s="1"/>
  <c r="D240" i="5"/>
  <c r="E240" i="5" s="1"/>
  <c r="D241" i="5"/>
  <c r="E241" i="5" s="1"/>
  <c r="D242" i="5"/>
  <c r="E242" i="5" s="1"/>
  <c r="D243" i="5"/>
  <c r="E243" i="5" s="1"/>
  <c r="D244" i="5"/>
  <c r="E244" i="5" s="1"/>
  <c r="D245" i="5"/>
  <c r="E245" i="5" s="1"/>
  <c r="D246" i="5"/>
  <c r="E246" i="5" s="1"/>
  <c r="D247" i="5"/>
  <c r="E247" i="5" s="1"/>
  <c r="D248" i="5"/>
  <c r="E248" i="5" s="1"/>
  <c r="D249" i="5"/>
  <c r="E249" i="5" s="1"/>
  <c r="D250" i="5"/>
  <c r="E250" i="5" s="1"/>
  <c r="D251" i="5"/>
  <c r="E251" i="5" s="1"/>
  <c r="D252" i="5"/>
  <c r="E252" i="5" s="1"/>
  <c r="D253" i="5"/>
  <c r="E253" i="5" s="1"/>
  <c r="D254" i="5"/>
  <c r="E254" i="5" s="1"/>
  <c r="D255" i="5"/>
  <c r="E255" i="5" s="1"/>
  <c r="D256" i="5"/>
  <c r="E256" i="5" s="1"/>
  <c r="D257" i="5"/>
  <c r="E257" i="5" s="1"/>
  <c r="D258" i="5"/>
  <c r="E258" i="5" s="1"/>
  <c r="D259" i="5"/>
  <c r="E259" i="5" s="1"/>
  <c r="D260" i="5"/>
  <c r="E260" i="5" s="1"/>
  <c r="D261" i="5"/>
  <c r="E261" i="5" s="1"/>
  <c r="D262" i="5"/>
  <c r="E262" i="5" s="1"/>
  <c r="E263" i="5"/>
  <c r="D264" i="5"/>
  <c r="E264" i="5" s="1"/>
  <c r="Q264" i="5"/>
  <c r="Q3" i="5" s="1"/>
  <c r="P262" i="5"/>
  <c r="Q262" i="5" s="1"/>
  <c r="P261" i="5"/>
  <c r="Q261" i="5" s="1"/>
  <c r="P260" i="5"/>
  <c r="Q260" i="5" s="1"/>
  <c r="P259" i="5"/>
  <c r="Q259" i="5" s="1"/>
  <c r="P258" i="5"/>
  <c r="Q258" i="5" s="1"/>
  <c r="P257" i="5"/>
  <c r="Q257" i="5" s="1"/>
  <c r="P256" i="5"/>
  <c r="Q256" i="5" s="1"/>
  <c r="P255" i="5"/>
  <c r="Q255" i="5" s="1"/>
  <c r="P254" i="5"/>
  <c r="Q254" i="5" s="1"/>
  <c r="P253" i="5"/>
  <c r="Q253" i="5" s="1"/>
  <c r="P252" i="5"/>
  <c r="Q252" i="5" s="1"/>
  <c r="P251" i="5"/>
  <c r="Q251" i="5" s="1"/>
  <c r="P250" i="5"/>
  <c r="Q250" i="5" s="1"/>
  <c r="P249" i="5"/>
  <c r="Q249" i="5" s="1"/>
  <c r="P248" i="5"/>
  <c r="Q248" i="5" s="1"/>
  <c r="P247" i="5"/>
  <c r="Q247" i="5" s="1"/>
  <c r="P246" i="5"/>
  <c r="Q246" i="5" s="1"/>
  <c r="P245" i="5"/>
  <c r="Q245" i="5" s="1"/>
  <c r="P244" i="5"/>
  <c r="Q244" i="5" s="1"/>
  <c r="P243" i="5"/>
  <c r="Q243" i="5" s="1"/>
  <c r="P242" i="5"/>
  <c r="Q242" i="5" s="1"/>
  <c r="P241" i="5"/>
  <c r="Q241" i="5" s="1"/>
  <c r="P240" i="5"/>
  <c r="Q240" i="5" s="1"/>
  <c r="P239" i="5"/>
  <c r="Q239" i="5" s="1"/>
  <c r="P238" i="5"/>
  <c r="Q238" i="5" s="1"/>
  <c r="P237" i="5"/>
  <c r="Q237" i="5" s="1"/>
  <c r="P236" i="5"/>
  <c r="Q236" i="5" s="1"/>
  <c r="P235" i="5"/>
  <c r="Q235" i="5" s="1"/>
  <c r="P234" i="5"/>
  <c r="Q234" i="5" s="1"/>
  <c r="P233" i="5"/>
  <c r="Q233" i="5" s="1"/>
  <c r="P232" i="5"/>
  <c r="Q232" i="5" s="1"/>
  <c r="P231" i="5"/>
  <c r="Q231" i="5" s="1"/>
  <c r="P230" i="5"/>
  <c r="Q230" i="5" s="1"/>
  <c r="P229" i="5"/>
  <c r="Q229" i="5" s="1"/>
  <c r="P228" i="5"/>
  <c r="Q228" i="5" s="1"/>
  <c r="P227" i="5"/>
  <c r="Q227" i="5" s="1"/>
  <c r="P226" i="5"/>
  <c r="Q226" i="5" s="1"/>
  <c r="P225" i="5"/>
  <c r="Q225" i="5" s="1"/>
  <c r="P224" i="5"/>
  <c r="Q224" i="5" s="1"/>
  <c r="P223" i="5"/>
  <c r="Q223" i="5" s="1"/>
  <c r="P222" i="5"/>
  <c r="Q222" i="5" s="1"/>
  <c r="P221" i="5"/>
  <c r="Q221" i="5" s="1"/>
  <c r="P220" i="5"/>
  <c r="Q220" i="5" s="1"/>
  <c r="P219" i="5"/>
  <c r="Q219" i="5" s="1"/>
  <c r="P218" i="5"/>
  <c r="Q218" i="5" s="1"/>
  <c r="P217" i="5"/>
  <c r="Q217" i="5" s="1"/>
  <c r="P216" i="5"/>
  <c r="Q216" i="5" s="1"/>
  <c r="P215" i="5"/>
  <c r="Q215" i="5" s="1"/>
  <c r="P214" i="5"/>
  <c r="Q214" i="5" s="1"/>
  <c r="P213" i="5"/>
  <c r="Q213" i="5" s="1"/>
  <c r="P212" i="5"/>
  <c r="Q212" i="5" s="1"/>
  <c r="P211" i="5"/>
  <c r="Q211" i="5" s="1"/>
  <c r="P210" i="5"/>
  <c r="Q210" i="5" s="1"/>
  <c r="P209" i="5"/>
  <c r="Q209" i="5" s="1"/>
  <c r="P208" i="5"/>
  <c r="Q208" i="5" s="1"/>
  <c r="P207" i="5"/>
  <c r="Q207" i="5" s="1"/>
  <c r="P206" i="5"/>
  <c r="Q206" i="5" s="1"/>
  <c r="P205" i="5"/>
  <c r="Q205" i="5" s="1"/>
  <c r="P204" i="5"/>
  <c r="Q204" i="5" s="1"/>
  <c r="P203" i="5"/>
  <c r="Q203" i="5" s="1"/>
  <c r="P202" i="5"/>
  <c r="Q202" i="5" s="1"/>
  <c r="P201" i="5"/>
  <c r="Q201" i="5" s="1"/>
  <c r="P200" i="5"/>
  <c r="Q200" i="5" s="1"/>
  <c r="P199" i="5"/>
  <c r="Q199" i="5" s="1"/>
  <c r="P198" i="5"/>
  <c r="Q198" i="5" s="1"/>
  <c r="P197" i="5"/>
  <c r="Q197" i="5" s="1"/>
  <c r="P196" i="5"/>
  <c r="Q196" i="5" s="1"/>
  <c r="P195" i="5"/>
  <c r="Q195" i="5" s="1"/>
  <c r="P194" i="5"/>
  <c r="Q194" i="5" s="1"/>
  <c r="P193" i="5"/>
  <c r="Q193" i="5" s="1"/>
  <c r="P192" i="5"/>
  <c r="Q192" i="5" s="1"/>
  <c r="P191" i="5"/>
  <c r="Q191" i="5" s="1"/>
  <c r="P190" i="5"/>
  <c r="Q190" i="5" s="1"/>
  <c r="P189" i="5"/>
  <c r="Q189" i="5" s="1"/>
  <c r="P188" i="5"/>
  <c r="Q188" i="5" s="1"/>
  <c r="P187" i="5"/>
  <c r="Q187" i="5" s="1"/>
  <c r="P186" i="5"/>
  <c r="Q186" i="5" s="1"/>
  <c r="P185" i="5"/>
  <c r="Q185" i="5" s="1"/>
  <c r="P184" i="5"/>
  <c r="Q184" i="5" s="1"/>
  <c r="P183" i="5"/>
  <c r="Q183" i="5" s="1"/>
  <c r="P182" i="5"/>
  <c r="Q182" i="5" s="1"/>
  <c r="P181" i="5"/>
  <c r="Q181" i="5" s="1"/>
  <c r="P180" i="5"/>
  <c r="Q180" i="5" s="1"/>
  <c r="P179" i="5"/>
  <c r="Q179" i="5" s="1"/>
  <c r="P178" i="5"/>
  <c r="Q178" i="5" s="1"/>
  <c r="P177" i="5"/>
  <c r="Q177" i="5" s="1"/>
  <c r="P176" i="5"/>
  <c r="Q176" i="5" s="1"/>
  <c r="P175" i="5"/>
  <c r="Q175" i="5" s="1"/>
  <c r="P174" i="5"/>
  <c r="Q174" i="5" s="1"/>
  <c r="P173" i="5"/>
  <c r="Q173" i="5" s="1"/>
  <c r="P172" i="5"/>
  <c r="Q172" i="5" s="1"/>
  <c r="P171" i="5"/>
  <c r="Q171" i="5" s="1"/>
  <c r="P170" i="5"/>
  <c r="Q170" i="5" s="1"/>
  <c r="P169" i="5"/>
  <c r="Q169" i="5" s="1"/>
  <c r="P168" i="5"/>
  <c r="Q168" i="5" s="1"/>
  <c r="P167" i="5"/>
  <c r="Q167" i="5" s="1"/>
  <c r="P166" i="5"/>
  <c r="Q166" i="5" s="1"/>
  <c r="P165" i="5"/>
  <c r="Q165" i="5" s="1"/>
  <c r="P164" i="5"/>
  <c r="Q164" i="5" s="1"/>
  <c r="P163" i="5"/>
  <c r="Q163" i="5" s="1"/>
  <c r="P162" i="5"/>
  <c r="Q162" i="5" s="1"/>
  <c r="P161" i="5"/>
  <c r="Q161" i="5" s="1"/>
  <c r="P160" i="5"/>
  <c r="Q160" i="5" s="1"/>
  <c r="P159" i="5"/>
  <c r="Q159" i="5" s="1"/>
  <c r="P158" i="5"/>
  <c r="Q158" i="5" s="1"/>
  <c r="P157" i="5"/>
  <c r="Q157" i="5" s="1"/>
  <c r="P156" i="5"/>
  <c r="Q156" i="5" s="1"/>
  <c r="P155" i="5"/>
  <c r="Q155" i="5" s="1"/>
  <c r="P154" i="5"/>
  <c r="Q154" i="5" s="1"/>
  <c r="P153" i="5"/>
  <c r="Q153" i="5" s="1"/>
  <c r="P152" i="5"/>
  <c r="Q152" i="5" s="1"/>
  <c r="P151" i="5"/>
  <c r="Q151" i="5" s="1"/>
  <c r="P150" i="5"/>
  <c r="Q150" i="5" s="1"/>
  <c r="P149" i="5"/>
  <c r="Q149" i="5" s="1"/>
  <c r="P148" i="5"/>
  <c r="Q148" i="5" s="1"/>
  <c r="P147" i="5"/>
  <c r="Q147" i="5" s="1"/>
  <c r="P146" i="5"/>
  <c r="Q146" i="5" s="1"/>
  <c r="P145" i="5"/>
  <c r="Q145" i="5" s="1"/>
  <c r="P144" i="5"/>
  <c r="Q144" i="5" s="1"/>
  <c r="P143" i="5"/>
  <c r="Q143" i="5" s="1"/>
  <c r="P142" i="5"/>
  <c r="Q142" i="5" s="1"/>
  <c r="P141" i="5"/>
  <c r="Q141" i="5" s="1"/>
  <c r="P140" i="5"/>
  <c r="Q140" i="5" s="1"/>
  <c r="P139" i="5"/>
  <c r="Q139" i="5" s="1"/>
  <c r="P138" i="5"/>
  <c r="Q138" i="5" s="1"/>
  <c r="P137" i="5"/>
  <c r="Q137" i="5" s="1"/>
  <c r="P136" i="5"/>
  <c r="Q136" i="5" s="1"/>
  <c r="P135" i="5"/>
  <c r="Q135" i="5" s="1"/>
  <c r="P134" i="5"/>
  <c r="Q134" i="5" s="1"/>
  <c r="P133" i="5"/>
  <c r="Q133" i="5" s="1"/>
  <c r="P132" i="5"/>
  <c r="Q132" i="5" s="1"/>
  <c r="P131" i="5"/>
  <c r="Q131" i="5" s="1"/>
  <c r="P130" i="5"/>
  <c r="Q130" i="5" s="1"/>
  <c r="P129" i="5"/>
  <c r="Q129" i="5" s="1"/>
  <c r="P128" i="5"/>
  <c r="Q128" i="5" s="1"/>
  <c r="P127" i="5"/>
  <c r="Q127" i="5" s="1"/>
  <c r="P126" i="5"/>
  <c r="Q126" i="5" s="1"/>
  <c r="P125" i="5"/>
  <c r="Q125" i="5" s="1"/>
  <c r="P124" i="5"/>
  <c r="Q124" i="5" s="1"/>
  <c r="P123" i="5"/>
  <c r="Q123" i="5" s="1"/>
  <c r="P122" i="5"/>
  <c r="Q122" i="5" s="1"/>
  <c r="P121" i="5"/>
  <c r="Q121" i="5" s="1"/>
  <c r="P120" i="5"/>
  <c r="Q120" i="5" s="1"/>
  <c r="P119" i="5"/>
  <c r="Q119" i="5" s="1"/>
  <c r="P118" i="5"/>
  <c r="Q118" i="5" s="1"/>
  <c r="P117" i="5"/>
  <c r="Q117" i="5" s="1"/>
  <c r="P116" i="5"/>
  <c r="Q116" i="5" s="1"/>
  <c r="P115" i="5"/>
  <c r="Q115" i="5" s="1"/>
  <c r="P114" i="5"/>
  <c r="Q114" i="5" s="1"/>
  <c r="P113" i="5"/>
  <c r="Q113" i="5" s="1"/>
  <c r="P112" i="5"/>
  <c r="Q112" i="5" s="1"/>
  <c r="P111" i="5"/>
  <c r="Q111" i="5" s="1"/>
  <c r="P110" i="5"/>
  <c r="Q110" i="5" s="1"/>
  <c r="P109" i="5"/>
  <c r="Q109" i="5" s="1"/>
  <c r="P108" i="5"/>
  <c r="Q108" i="5" s="1"/>
  <c r="P107" i="5"/>
  <c r="Q107" i="5" s="1"/>
  <c r="P106" i="5"/>
  <c r="Q106" i="5" s="1"/>
  <c r="P105" i="5"/>
  <c r="Q105" i="5" s="1"/>
  <c r="P104" i="5"/>
  <c r="Q104" i="5" s="1"/>
  <c r="P103" i="5"/>
  <c r="Q103" i="5" s="1"/>
  <c r="P102" i="5"/>
  <c r="Q102" i="5" s="1"/>
  <c r="P101" i="5"/>
  <c r="Q101" i="5" s="1"/>
  <c r="P100" i="5"/>
  <c r="Q100" i="5" s="1"/>
  <c r="P99" i="5"/>
  <c r="Q99" i="5" s="1"/>
  <c r="P98" i="5"/>
  <c r="Q98" i="5" s="1"/>
  <c r="P97" i="5"/>
  <c r="Q97" i="5" s="1"/>
  <c r="P96" i="5"/>
  <c r="Q96" i="5" s="1"/>
  <c r="P95" i="5"/>
  <c r="Q95" i="5" s="1"/>
  <c r="P94" i="5"/>
  <c r="Q94" i="5" s="1"/>
  <c r="P93" i="5"/>
  <c r="Q93" i="5" s="1"/>
  <c r="P92" i="5"/>
  <c r="Q92" i="5" s="1"/>
  <c r="P91" i="5"/>
  <c r="Q91" i="5" s="1"/>
  <c r="P90" i="5"/>
  <c r="Q90" i="5" s="1"/>
  <c r="P89" i="5"/>
  <c r="Q89" i="5" s="1"/>
  <c r="P88" i="5"/>
  <c r="Q88" i="5" s="1"/>
  <c r="P87" i="5"/>
  <c r="Q87" i="5" s="1"/>
  <c r="P86" i="5"/>
  <c r="Q86" i="5" s="1"/>
  <c r="P85" i="5"/>
  <c r="Q85" i="5" s="1"/>
  <c r="P84" i="5"/>
  <c r="Q84" i="5" s="1"/>
  <c r="P83" i="5"/>
  <c r="Q83" i="5" s="1"/>
  <c r="P82" i="5"/>
  <c r="Q82" i="5" s="1"/>
  <c r="P81" i="5"/>
  <c r="Q81" i="5" s="1"/>
  <c r="P80" i="5"/>
  <c r="Q80" i="5" s="1"/>
  <c r="P79" i="5"/>
  <c r="Q79" i="5" s="1"/>
  <c r="P78" i="5"/>
  <c r="Q78" i="5" s="1"/>
  <c r="P77" i="5"/>
  <c r="Q77" i="5" s="1"/>
  <c r="P76" i="5"/>
  <c r="Q76" i="5" s="1"/>
  <c r="P75" i="5"/>
  <c r="Q75" i="5" s="1"/>
  <c r="P74" i="5"/>
  <c r="Q74" i="5" s="1"/>
  <c r="P73" i="5"/>
  <c r="Q73" i="5" s="1"/>
  <c r="P72" i="5"/>
  <c r="Q72" i="5" s="1"/>
  <c r="P71" i="5"/>
  <c r="Q71" i="5" s="1"/>
  <c r="P70" i="5"/>
  <c r="Q70" i="5" s="1"/>
  <c r="P69" i="5"/>
  <c r="Q69" i="5" s="1"/>
  <c r="P68" i="5"/>
  <c r="Q68" i="5" s="1"/>
  <c r="P67" i="5"/>
  <c r="Q67" i="5" s="1"/>
  <c r="P66" i="5"/>
  <c r="Q66" i="5" s="1"/>
  <c r="P65" i="5"/>
  <c r="Q65" i="5" s="1"/>
  <c r="P64" i="5"/>
  <c r="Q64" i="5" s="1"/>
  <c r="P63" i="5"/>
  <c r="Q63" i="5" s="1"/>
  <c r="P62" i="5"/>
  <c r="Q62" i="5" s="1"/>
  <c r="P61" i="5"/>
  <c r="Q61" i="5" s="1"/>
  <c r="P60" i="5"/>
  <c r="Q60" i="5" s="1"/>
  <c r="P59" i="5"/>
  <c r="Q59" i="5" s="1"/>
  <c r="P58" i="5"/>
  <c r="Q58" i="5" s="1"/>
  <c r="P57" i="5"/>
  <c r="Q57" i="5" s="1"/>
  <c r="P56" i="5"/>
  <c r="Q56" i="5" s="1"/>
  <c r="P55" i="5"/>
  <c r="Q55" i="5" s="1"/>
  <c r="P54" i="5"/>
  <c r="Q54" i="5" s="1"/>
  <c r="P53" i="5"/>
  <c r="Q53" i="5" s="1"/>
  <c r="P52" i="5"/>
  <c r="Q52" i="5" s="1"/>
  <c r="P51" i="5"/>
  <c r="Q51" i="5" s="1"/>
  <c r="P50" i="5"/>
  <c r="Q50" i="5" s="1"/>
  <c r="P49" i="5"/>
  <c r="Q49" i="5" s="1"/>
  <c r="P48" i="5"/>
  <c r="Q48" i="5" s="1"/>
  <c r="P47" i="5"/>
  <c r="Q47" i="5" s="1"/>
  <c r="P46" i="5"/>
  <c r="Q46" i="5" s="1"/>
  <c r="P45" i="5"/>
  <c r="Q45" i="5" s="1"/>
  <c r="P44" i="5"/>
  <c r="Q44" i="5" s="1"/>
  <c r="P43" i="5"/>
  <c r="Q43" i="5" s="1"/>
  <c r="P42" i="5"/>
  <c r="Q42" i="5" s="1"/>
  <c r="P41" i="5"/>
  <c r="Q41" i="5" s="1"/>
  <c r="P40" i="5"/>
  <c r="Q40" i="5" s="1"/>
  <c r="P39" i="5"/>
  <c r="Q39" i="5" s="1"/>
  <c r="P38" i="5"/>
  <c r="Q38" i="5" s="1"/>
  <c r="P37" i="5"/>
  <c r="Q37" i="5" s="1"/>
  <c r="P36" i="5"/>
  <c r="Q36" i="5" s="1"/>
  <c r="P35" i="5"/>
  <c r="Q35" i="5" s="1"/>
  <c r="P34" i="5"/>
  <c r="Q34" i="5" s="1"/>
  <c r="P33" i="5"/>
  <c r="Q33" i="5" s="1"/>
  <c r="P32" i="5"/>
  <c r="Q32" i="5" s="1"/>
  <c r="P31" i="5"/>
  <c r="Q31" i="5" s="1"/>
  <c r="P30" i="5"/>
  <c r="Q30" i="5" s="1"/>
  <c r="P29" i="5"/>
  <c r="Q29" i="5" s="1"/>
  <c r="P28" i="5"/>
  <c r="Q28" i="5" s="1"/>
  <c r="P27" i="5"/>
  <c r="Q27" i="5" s="1"/>
  <c r="P26" i="5"/>
  <c r="Q26" i="5" s="1"/>
  <c r="P25" i="5"/>
  <c r="Q25" i="5" s="1"/>
  <c r="P24" i="5"/>
  <c r="Q24" i="5" s="1"/>
  <c r="P23" i="5"/>
  <c r="Q23" i="5" s="1"/>
  <c r="P22" i="5"/>
  <c r="Q22" i="5" s="1"/>
  <c r="P21" i="5"/>
  <c r="Q21" i="5" s="1"/>
  <c r="P20" i="5"/>
  <c r="Q20" i="5" s="1"/>
  <c r="P19" i="5"/>
  <c r="Q19" i="5" s="1"/>
  <c r="P18" i="5"/>
  <c r="Q18" i="5" s="1"/>
  <c r="Q17" i="5"/>
  <c r="P16" i="5"/>
  <c r="Q16" i="5" s="1"/>
  <c r="Q15" i="5"/>
  <c r="M15" i="5"/>
  <c r="H15" i="5"/>
  <c r="I15" i="5" s="1"/>
  <c r="H263" i="5"/>
  <c r="I263" i="5" s="1"/>
  <c r="H262" i="5"/>
  <c r="I262" i="5" s="1"/>
  <c r="H261" i="5"/>
  <c r="I261" i="5" s="1"/>
  <c r="H260" i="5"/>
  <c r="I260" i="5" s="1"/>
  <c r="H259" i="5"/>
  <c r="I259" i="5" s="1"/>
  <c r="H258" i="5"/>
  <c r="I258" i="5" s="1"/>
  <c r="H257" i="5"/>
  <c r="I257" i="5" s="1"/>
  <c r="H256" i="5"/>
  <c r="I256" i="5" s="1"/>
  <c r="H255" i="5"/>
  <c r="I255" i="5" s="1"/>
  <c r="H254" i="5"/>
  <c r="I254" i="5" s="1"/>
  <c r="H253" i="5"/>
  <c r="I253" i="5" s="1"/>
  <c r="H252" i="5"/>
  <c r="I252" i="5" s="1"/>
  <c r="H251" i="5"/>
  <c r="I251" i="5" s="1"/>
  <c r="H250" i="5"/>
  <c r="I250" i="5" s="1"/>
  <c r="H249" i="5"/>
  <c r="I249" i="5" s="1"/>
  <c r="H248" i="5"/>
  <c r="I248" i="5" s="1"/>
  <c r="H247" i="5"/>
  <c r="I247" i="5" s="1"/>
  <c r="H246" i="5"/>
  <c r="I246" i="5" s="1"/>
  <c r="H245" i="5"/>
  <c r="I245" i="5" s="1"/>
  <c r="H244" i="5"/>
  <c r="I244" i="5" s="1"/>
  <c r="H243" i="5"/>
  <c r="I243" i="5" s="1"/>
  <c r="H242" i="5"/>
  <c r="I242" i="5" s="1"/>
  <c r="H241" i="5"/>
  <c r="I241" i="5" s="1"/>
  <c r="H240" i="5"/>
  <c r="I240" i="5" s="1"/>
  <c r="H239" i="5"/>
  <c r="I239" i="5" s="1"/>
  <c r="H238" i="5"/>
  <c r="I238" i="5" s="1"/>
  <c r="H237" i="5"/>
  <c r="I237" i="5" s="1"/>
  <c r="H236" i="5"/>
  <c r="I236" i="5" s="1"/>
  <c r="H235" i="5"/>
  <c r="I235" i="5" s="1"/>
  <c r="H234" i="5"/>
  <c r="I234" i="5" s="1"/>
  <c r="H233" i="5"/>
  <c r="I233" i="5" s="1"/>
  <c r="H232" i="5"/>
  <c r="I232" i="5" s="1"/>
  <c r="H231" i="5"/>
  <c r="I231" i="5" s="1"/>
  <c r="H230" i="5"/>
  <c r="I230" i="5" s="1"/>
  <c r="H229" i="5"/>
  <c r="I229" i="5" s="1"/>
  <c r="H228" i="5"/>
  <c r="I228" i="5" s="1"/>
  <c r="H227" i="5"/>
  <c r="I227" i="5" s="1"/>
  <c r="H226" i="5"/>
  <c r="I226" i="5" s="1"/>
  <c r="H225" i="5"/>
  <c r="I225" i="5" s="1"/>
  <c r="H224" i="5"/>
  <c r="I224" i="5" s="1"/>
  <c r="H223" i="5"/>
  <c r="I223" i="5" s="1"/>
  <c r="H222" i="5"/>
  <c r="I222" i="5" s="1"/>
  <c r="H221" i="5"/>
  <c r="I221" i="5" s="1"/>
  <c r="H220" i="5"/>
  <c r="I220" i="5" s="1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H212" i="5"/>
  <c r="I212" i="5" s="1"/>
  <c r="H211" i="5"/>
  <c r="I211" i="5" s="1"/>
  <c r="H210" i="5"/>
  <c r="I210" i="5" s="1"/>
  <c r="H209" i="5"/>
  <c r="I209" i="5" s="1"/>
  <c r="H208" i="5"/>
  <c r="I208" i="5" s="1"/>
  <c r="H207" i="5"/>
  <c r="I207" i="5" s="1"/>
  <c r="H206" i="5"/>
  <c r="I206" i="5" s="1"/>
  <c r="H205" i="5"/>
  <c r="I205" i="5" s="1"/>
  <c r="H204" i="5"/>
  <c r="I204" i="5" s="1"/>
  <c r="H203" i="5"/>
  <c r="I203" i="5" s="1"/>
  <c r="H202" i="5"/>
  <c r="I202" i="5" s="1"/>
  <c r="H201" i="5"/>
  <c r="I201" i="5" s="1"/>
  <c r="H200" i="5"/>
  <c r="I200" i="5" s="1"/>
  <c r="H199" i="5"/>
  <c r="I199" i="5" s="1"/>
  <c r="H198" i="5"/>
  <c r="I198" i="5" s="1"/>
  <c r="H197" i="5"/>
  <c r="I197" i="5" s="1"/>
  <c r="H196" i="5"/>
  <c r="I196" i="5" s="1"/>
  <c r="H195" i="5"/>
  <c r="I195" i="5" s="1"/>
  <c r="H194" i="5"/>
  <c r="I194" i="5" s="1"/>
  <c r="H193" i="5"/>
  <c r="I193" i="5" s="1"/>
  <c r="H192" i="5"/>
  <c r="I192" i="5" s="1"/>
  <c r="H191" i="5"/>
  <c r="I191" i="5" s="1"/>
  <c r="H190" i="5"/>
  <c r="I190" i="5" s="1"/>
  <c r="H189" i="5"/>
  <c r="I189" i="5" s="1"/>
  <c r="H188" i="5"/>
  <c r="I188" i="5" s="1"/>
  <c r="H187" i="5"/>
  <c r="I187" i="5" s="1"/>
  <c r="H186" i="5"/>
  <c r="I186" i="5" s="1"/>
  <c r="H185" i="5"/>
  <c r="I185" i="5" s="1"/>
  <c r="H184" i="5"/>
  <c r="I184" i="5" s="1"/>
  <c r="H183" i="5"/>
  <c r="I183" i="5" s="1"/>
  <c r="H182" i="5"/>
  <c r="I182" i="5" s="1"/>
  <c r="H181" i="5"/>
  <c r="I181" i="5" s="1"/>
  <c r="H180" i="5"/>
  <c r="I180" i="5" s="1"/>
  <c r="H179" i="5"/>
  <c r="I179" i="5" s="1"/>
  <c r="H178" i="5"/>
  <c r="I178" i="5" s="1"/>
  <c r="H177" i="5"/>
  <c r="I177" i="5" s="1"/>
  <c r="H176" i="5"/>
  <c r="I176" i="5" s="1"/>
  <c r="H175" i="5"/>
  <c r="I175" i="5" s="1"/>
  <c r="H174" i="5"/>
  <c r="I174" i="5" s="1"/>
  <c r="H173" i="5"/>
  <c r="I173" i="5" s="1"/>
  <c r="H172" i="5"/>
  <c r="I172" i="5" s="1"/>
  <c r="H171" i="5"/>
  <c r="I171" i="5" s="1"/>
  <c r="H170" i="5"/>
  <c r="I170" i="5" s="1"/>
  <c r="H169" i="5"/>
  <c r="I169" i="5" s="1"/>
  <c r="H168" i="5"/>
  <c r="I168" i="5" s="1"/>
  <c r="H167" i="5"/>
  <c r="I167" i="5" s="1"/>
  <c r="H166" i="5"/>
  <c r="I166" i="5" s="1"/>
  <c r="H165" i="5"/>
  <c r="I165" i="5" s="1"/>
  <c r="H164" i="5"/>
  <c r="I164" i="5" s="1"/>
  <c r="H163" i="5"/>
  <c r="I163" i="5" s="1"/>
  <c r="H162" i="5"/>
  <c r="I162" i="5" s="1"/>
  <c r="H161" i="5"/>
  <c r="I161" i="5" s="1"/>
  <c r="H160" i="5"/>
  <c r="I160" i="5" s="1"/>
  <c r="H159" i="5"/>
  <c r="I159" i="5" s="1"/>
  <c r="H158" i="5"/>
  <c r="I158" i="5" s="1"/>
  <c r="H157" i="5"/>
  <c r="I157" i="5" s="1"/>
  <c r="H156" i="5"/>
  <c r="I156" i="5" s="1"/>
  <c r="H155" i="5"/>
  <c r="I155" i="5" s="1"/>
  <c r="H154" i="5"/>
  <c r="I154" i="5" s="1"/>
  <c r="H153" i="5"/>
  <c r="I153" i="5" s="1"/>
  <c r="H152" i="5"/>
  <c r="I152" i="5" s="1"/>
  <c r="H151" i="5"/>
  <c r="I151" i="5" s="1"/>
  <c r="H150" i="5"/>
  <c r="I150" i="5" s="1"/>
  <c r="H149" i="5"/>
  <c r="I149" i="5" s="1"/>
  <c r="H148" i="5"/>
  <c r="I148" i="5" s="1"/>
  <c r="H147" i="5"/>
  <c r="I147" i="5" s="1"/>
  <c r="H146" i="5"/>
  <c r="I146" i="5" s="1"/>
  <c r="H145" i="5"/>
  <c r="I145" i="5" s="1"/>
  <c r="H144" i="5"/>
  <c r="I144" i="5" s="1"/>
  <c r="H143" i="5"/>
  <c r="I143" i="5" s="1"/>
  <c r="H142" i="5"/>
  <c r="I142" i="5" s="1"/>
  <c r="H141" i="5"/>
  <c r="I141" i="5" s="1"/>
  <c r="H140" i="5"/>
  <c r="I140" i="5" s="1"/>
  <c r="H139" i="5"/>
  <c r="I139" i="5" s="1"/>
  <c r="H138" i="5"/>
  <c r="I138" i="5" s="1"/>
  <c r="H137" i="5"/>
  <c r="I137" i="5" s="1"/>
  <c r="H136" i="5"/>
  <c r="I136" i="5" s="1"/>
  <c r="H135" i="5"/>
  <c r="I135" i="5" s="1"/>
  <c r="H134" i="5"/>
  <c r="I134" i="5" s="1"/>
  <c r="H133" i="5"/>
  <c r="I133" i="5" s="1"/>
  <c r="H132" i="5"/>
  <c r="I132" i="5" s="1"/>
  <c r="H131" i="5"/>
  <c r="I131" i="5" s="1"/>
  <c r="H130" i="5"/>
  <c r="I130" i="5" s="1"/>
  <c r="H129" i="5"/>
  <c r="I129" i="5" s="1"/>
  <c r="H128" i="5"/>
  <c r="I128" i="5" s="1"/>
  <c r="H127" i="5"/>
  <c r="I127" i="5" s="1"/>
  <c r="H126" i="5"/>
  <c r="I126" i="5" s="1"/>
  <c r="H125" i="5"/>
  <c r="I125" i="5" s="1"/>
  <c r="H124" i="5"/>
  <c r="I124" i="5" s="1"/>
  <c r="H123" i="5"/>
  <c r="I123" i="5" s="1"/>
  <c r="H122" i="5"/>
  <c r="I122" i="5" s="1"/>
  <c r="H121" i="5"/>
  <c r="I121" i="5" s="1"/>
  <c r="H120" i="5"/>
  <c r="I120" i="5" s="1"/>
  <c r="H119" i="5"/>
  <c r="I119" i="5" s="1"/>
  <c r="H118" i="5"/>
  <c r="I118" i="5" s="1"/>
  <c r="H117" i="5"/>
  <c r="I117" i="5" s="1"/>
  <c r="H116" i="5"/>
  <c r="I116" i="5" s="1"/>
  <c r="H115" i="5"/>
  <c r="I115" i="5" s="1"/>
  <c r="H114" i="5"/>
  <c r="I114" i="5" s="1"/>
  <c r="H113" i="5"/>
  <c r="I113" i="5" s="1"/>
  <c r="H112" i="5"/>
  <c r="I112" i="5" s="1"/>
  <c r="H111" i="5"/>
  <c r="I111" i="5" s="1"/>
  <c r="H110" i="5"/>
  <c r="I110" i="5" s="1"/>
  <c r="H109" i="5"/>
  <c r="I109" i="5" s="1"/>
  <c r="H108" i="5"/>
  <c r="I108" i="5" s="1"/>
  <c r="H107" i="5"/>
  <c r="I107" i="5" s="1"/>
  <c r="H106" i="5"/>
  <c r="I106" i="5" s="1"/>
  <c r="H105" i="5"/>
  <c r="I105" i="5" s="1"/>
  <c r="H104" i="5"/>
  <c r="I104" i="5" s="1"/>
  <c r="H103" i="5"/>
  <c r="I103" i="5" s="1"/>
  <c r="H102" i="5"/>
  <c r="I102" i="5" s="1"/>
  <c r="H101" i="5"/>
  <c r="I101" i="5" s="1"/>
  <c r="H100" i="5"/>
  <c r="I100" i="5" s="1"/>
  <c r="H99" i="5"/>
  <c r="I99" i="5" s="1"/>
  <c r="H98" i="5"/>
  <c r="I98" i="5" s="1"/>
  <c r="H97" i="5"/>
  <c r="I97" i="5" s="1"/>
  <c r="H96" i="5"/>
  <c r="I96" i="5" s="1"/>
  <c r="H95" i="5"/>
  <c r="I95" i="5" s="1"/>
  <c r="H94" i="5"/>
  <c r="I94" i="5" s="1"/>
  <c r="H93" i="5"/>
  <c r="I93" i="5" s="1"/>
  <c r="H92" i="5"/>
  <c r="I92" i="5" s="1"/>
  <c r="H91" i="5"/>
  <c r="I91" i="5" s="1"/>
  <c r="H90" i="5"/>
  <c r="I90" i="5" s="1"/>
  <c r="H89" i="5"/>
  <c r="I89" i="5" s="1"/>
  <c r="H88" i="5"/>
  <c r="I88" i="5" s="1"/>
  <c r="H87" i="5"/>
  <c r="I87" i="5" s="1"/>
  <c r="H86" i="5"/>
  <c r="I86" i="5" s="1"/>
  <c r="H85" i="5"/>
  <c r="I85" i="5" s="1"/>
  <c r="H84" i="5"/>
  <c r="I84" i="5" s="1"/>
  <c r="H83" i="5"/>
  <c r="I83" i="5" s="1"/>
  <c r="H82" i="5"/>
  <c r="I82" i="5" s="1"/>
  <c r="H81" i="5"/>
  <c r="I81" i="5" s="1"/>
  <c r="H80" i="5"/>
  <c r="I80" i="5" s="1"/>
  <c r="H79" i="5"/>
  <c r="I79" i="5" s="1"/>
  <c r="H78" i="5"/>
  <c r="I78" i="5" s="1"/>
  <c r="H77" i="5"/>
  <c r="I77" i="5" s="1"/>
  <c r="H76" i="5"/>
  <c r="I76" i="5" s="1"/>
  <c r="H75" i="5"/>
  <c r="I75" i="5" s="1"/>
  <c r="H74" i="5"/>
  <c r="I74" i="5" s="1"/>
  <c r="H73" i="5"/>
  <c r="I73" i="5" s="1"/>
  <c r="H72" i="5"/>
  <c r="I72" i="5" s="1"/>
  <c r="H71" i="5"/>
  <c r="I71" i="5" s="1"/>
  <c r="H70" i="5"/>
  <c r="I70" i="5" s="1"/>
  <c r="H69" i="5"/>
  <c r="I69" i="5" s="1"/>
  <c r="H68" i="5"/>
  <c r="I68" i="5" s="1"/>
  <c r="H67" i="5"/>
  <c r="I67" i="5" s="1"/>
  <c r="H66" i="5"/>
  <c r="I66" i="5" s="1"/>
  <c r="H65" i="5"/>
  <c r="I65" i="5" s="1"/>
  <c r="H64" i="5"/>
  <c r="I64" i="5" s="1"/>
  <c r="H63" i="5"/>
  <c r="I63" i="5" s="1"/>
  <c r="H62" i="5"/>
  <c r="I62" i="5" s="1"/>
  <c r="H61" i="5"/>
  <c r="I61" i="5" s="1"/>
  <c r="H60" i="5"/>
  <c r="I60" i="5" s="1"/>
  <c r="H59" i="5"/>
  <c r="I59" i="5" s="1"/>
  <c r="H58" i="5"/>
  <c r="I58" i="5" s="1"/>
  <c r="H57" i="5"/>
  <c r="I57" i="5" s="1"/>
  <c r="H56" i="5"/>
  <c r="I56" i="5" s="1"/>
  <c r="H55" i="5"/>
  <c r="I55" i="5" s="1"/>
  <c r="H54" i="5"/>
  <c r="I54" i="5" s="1"/>
  <c r="H53" i="5"/>
  <c r="I53" i="5" s="1"/>
  <c r="H52" i="5"/>
  <c r="I52" i="5" s="1"/>
  <c r="H51" i="5"/>
  <c r="I51" i="5" s="1"/>
  <c r="H50" i="5"/>
  <c r="I50" i="5" s="1"/>
  <c r="H49" i="5"/>
  <c r="I49" i="5" s="1"/>
  <c r="H48" i="5"/>
  <c r="I48" i="5" s="1"/>
  <c r="H47" i="5"/>
  <c r="I47" i="5" s="1"/>
  <c r="H46" i="5"/>
  <c r="I46" i="5" s="1"/>
  <c r="H45" i="5"/>
  <c r="I45" i="5" s="1"/>
  <c r="H44" i="5"/>
  <c r="I44" i="5" s="1"/>
  <c r="H43" i="5"/>
  <c r="I43" i="5" s="1"/>
  <c r="H42" i="5"/>
  <c r="I42" i="5" s="1"/>
  <c r="H41" i="5"/>
  <c r="I41" i="5" s="1"/>
  <c r="H40" i="5"/>
  <c r="I40" i="5" s="1"/>
  <c r="H39" i="5"/>
  <c r="I39" i="5" s="1"/>
  <c r="H38" i="5"/>
  <c r="I38" i="5" s="1"/>
  <c r="H37" i="5"/>
  <c r="I37" i="5" s="1"/>
  <c r="H36" i="5"/>
  <c r="I36" i="5" s="1"/>
  <c r="H35" i="5"/>
  <c r="I35" i="5" s="1"/>
  <c r="H34" i="5"/>
  <c r="I34" i="5" s="1"/>
  <c r="H33" i="5"/>
  <c r="I33" i="5" s="1"/>
  <c r="H32" i="5"/>
  <c r="I32" i="5" s="1"/>
  <c r="H31" i="5"/>
  <c r="I31" i="5" s="1"/>
  <c r="H30" i="5"/>
  <c r="I30" i="5" s="1"/>
  <c r="H29" i="5"/>
  <c r="I29" i="5" s="1"/>
  <c r="H28" i="5"/>
  <c r="I28" i="5" s="1"/>
  <c r="H27" i="5"/>
  <c r="I27" i="5" s="1"/>
  <c r="H26" i="5"/>
  <c r="I26" i="5" s="1"/>
  <c r="H25" i="5"/>
  <c r="I25" i="5" s="1"/>
  <c r="H24" i="5"/>
  <c r="I24" i="5" s="1"/>
  <c r="H23" i="5"/>
  <c r="I23" i="5" s="1"/>
  <c r="H22" i="5"/>
  <c r="I22" i="5" s="1"/>
  <c r="H21" i="5"/>
  <c r="I21" i="5" s="1"/>
  <c r="H20" i="5"/>
  <c r="I20" i="5" s="1"/>
  <c r="H19" i="5"/>
  <c r="I19" i="5" s="1"/>
  <c r="H18" i="5"/>
  <c r="I18" i="5" s="1"/>
  <c r="H17" i="5"/>
  <c r="I17" i="5" s="1"/>
  <c r="H16" i="5"/>
  <c r="I16" i="5" s="1"/>
  <c r="E10" i="5" l="1"/>
  <c r="E9" i="5"/>
  <c r="E3" i="5"/>
  <c r="E4" i="5" s="1"/>
  <c r="Q4" i="5"/>
  <c r="Q10" i="5"/>
  <c r="Q7" i="5"/>
  <c r="Q8" i="5"/>
  <c r="E7" i="5"/>
  <c r="E8" i="5"/>
  <c r="Q5" i="5"/>
  <c r="Q6" i="5" s="1"/>
  <c r="E5" i="5"/>
  <c r="E6" i="5" s="1"/>
  <c r="M3" i="5"/>
  <c r="M4" i="5" s="1"/>
  <c r="M8" i="5"/>
  <c r="M10" i="5"/>
  <c r="M7" i="5"/>
  <c r="M264" i="5"/>
  <c r="M5" i="5"/>
  <c r="M6" i="5" s="1"/>
  <c r="I264" i="5"/>
  <c r="I5" i="5" s="1"/>
  <c r="I6" i="5" s="1"/>
  <c r="I10" i="5"/>
  <c r="I7" i="5" l="1"/>
  <c r="I3" i="5"/>
  <c r="I4" i="5" s="1"/>
  <c r="I8" i="5"/>
</calcChain>
</file>

<file path=xl/sharedStrings.xml><?xml version="1.0" encoding="utf-8"?>
<sst xmlns="http://schemas.openxmlformats.org/spreadsheetml/2006/main" count="341" uniqueCount="55">
  <si>
    <t>OPCVM</t>
  </si>
  <si>
    <t xml:space="preserve">Input: </t>
  </si>
  <si>
    <t>TD: trading Date</t>
  </si>
  <si>
    <t xml:space="preserve">Choisir les OPCVM </t>
  </si>
  <si>
    <t>0P0001IDBD.F</t>
  </si>
  <si>
    <t xml:space="preserve">Nb </t>
  </si>
  <si>
    <t>Taux sans risque (R)</t>
  </si>
  <si>
    <t>Profit (N)</t>
  </si>
  <si>
    <t xml:space="preserve"> Risk (o)</t>
  </si>
  <si>
    <t>Cac40</t>
  </si>
  <si>
    <t>Output:</t>
  </si>
  <si>
    <t>Numéro</t>
  </si>
  <si>
    <t>R</t>
  </si>
  <si>
    <t>Ratio de sharpe</t>
  </si>
  <si>
    <t>Écart type</t>
  </si>
  <si>
    <t>Variance</t>
  </si>
  <si>
    <t xml:space="preserve">Alpha </t>
  </si>
  <si>
    <t>Beta</t>
  </si>
  <si>
    <t>Cov</t>
  </si>
  <si>
    <t>Corrélation</t>
  </si>
  <si>
    <t>Tacking error</t>
  </si>
  <si>
    <t>0P000027T4.F</t>
  </si>
  <si>
    <t>0P0000HXBU</t>
  </si>
  <si>
    <t>0P0000XRZC</t>
  </si>
  <si>
    <t>0P0000YSYX.F</t>
  </si>
  <si>
    <t>0P00014J1U</t>
  </si>
  <si>
    <t>!</t>
  </si>
  <si>
    <t>Rendement quotidien moyen</t>
  </si>
  <si>
    <t>Rendement annuel moyen</t>
  </si>
  <si>
    <t>Ecart type quotidien</t>
  </si>
  <si>
    <t>Volatilité historique annuelle</t>
  </si>
  <si>
    <t xml:space="preserve">min </t>
  </si>
  <si>
    <t xml:space="preserve">max </t>
  </si>
  <si>
    <t>Correlation:</t>
  </si>
  <si>
    <t>Variance:</t>
  </si>
  <si>
    <t>Date</t>
  </si>
  <si>
    <t>Perf. quotidienne</t>
  </si>
  <si>
    <t>Perf. quotidienne retraitée</t>
  </si>
  <si>
    <t>0P0000Z6C3.SW</t>
  </si>
  <si>
    <t>0P00008Y84.F</t>
  </si>
  <si>
    <t xml:space="preserve">Indice de référence </t>
  </si>
  <si>
    <t>Open</t>
  </si>
  <si>
    <t>null</t>
  </si>
  <si>
    <t>OPCVM NAME</t>
  </si>
  <si>
    <t>type FCP OU SICAV</t>
  </si>
  <si>
    <t>A</t>
  </si>
  <si>
    <t>FCP</t>
  </si>
  <si>
    <t>B</t>
  </si>
  <si>
    <t>SICAV</t>
  </si>
  <si>
    <t>VEUILLEZ SELECTIONS ELS FONDS A ANALYSER</t>
  </si>
  <si>
    <t>C</t>
  </si>
  <si>
    <t>VEUILLEZ SELECTIONNER LES INDICATUERS</t>
  </si>
  <si>
    <t>F</t>
  </si>
  <si>
    <t>DSQFD</t>
  </si>
  <si>
    <t>GSDFGF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</si>
</sst>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%"/>
    <numFmt numFmtId="165" formatCode="0.0000%"/>
    <numFmt numFmtId="166" formatCode="0.000000%"/>
    <numFmt numFmtId="167" formatCode="0.0000000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3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19" fillId="33" borderId="11" xfId="0" applyFont="1" applyFill="1" applyBorder="1"/>
    <xf numFmtId="10" fontId="19" fillId="33" borderId="11" xfId="42" applyNumberFormat="1" applyFont="1" applyFill="1" applyBorder="1" applyAlignment="1">
      <alignment horizontal="center"/>
    </xf>
    <xf numFmtId="164" fontId="19" fillId="33" borderId="11" xfId="42" applyNumberFormat="1" applyFont="1" applyFill="1" applyBorder="1" applyAlignment="1">
      <alignment horizontal="center"/>
    </xf>
    <xf numFmtId="165" fontId="19" fillId="33" borderId="11" xfId="42" applyNumberFormat="1" applyFont="1" applyFill="1" applyBorder="1" applyAlignment="1">
      <alignment horizontal="center"/>
    </xf>
    <xf numFmtId="0" fontId="0" fillId="34" borderId="0" xfId="0" applyFill="1"/>
    <xf numFmtId="0" fontId="0" fillId="36" borderId="0" xfId="0" applyFill="1"/>
    <xf numFmtId="0" fontId="0" fillId="35" borderId="13" xfId="0" applyFill="1" applyBorder="1"/>
    <xf numFmtId="10" fontId="0" fillId="35" borderId="13" xfId="42" applyNumberFormat="1" applyFont="1" applyFill="1" applyBorder="1"/>
    <xf numFmtId="10" fontId="20" fillId="35" borderId="13" xfId="42" applyNumberFormat="1" applyFont="1" applyFill="1" applyBorder="1"/>
    <xf numFmtId="0" fontId="20" fillId="35" borderId="13" xfId="0" applyFont="1" applyFill="1" applyBorder="1"/>
    <xf numFmtId="166" fontId="0" fillId="35" borderId="13" xfId="42" applyNumberFormat="1" applyFont="1" applyFill="1" applyBorder="1"/>
    <xf numFmtId="167" fontId="20" fillId="35" borderId="13" xfId="42" applyNumberFormat="1" applyFont="1" applyFill="1" applyBorder="1"/>
    <xf numFmtId="0" fontId="21" fillId="0" borderId="0" xfId="0" applyFont="1"/>
    <xf numFmtId="0" fontId="16" fillId="0" borderId="0" xfId="0" applyFont="1"/>
    <xf numFmtId="0" fontId="0" fillId="37" borderId="0" xfId="0" applyFill="1"/>
    <xf numFmtId="14" fontId="0" fillId="36" borderId="0" xfId="0" applyNumberFormat="1" applyFill="1"/>
    <xf numFmtId="9" fontId="0" fillId="36" borderId="0" xfId="0" applyNumberFormat="1" applyFill="1"/>
    <xf numFmtId="167" fontId="0" fillId="0" borderId="0" xfId="0" applyNumberFormat="1"/>
    <xf numFmtId="0" fontId="14" fillId="0" borderId="0" xfId="0" applyFont="1"/>
    <xf numFmtId="11" fontId="0" fillId="0" borderId="0" xfId="0" applyNumberFormat="1"/>
    <xf numFmtId="1" fontId="0" fillId="36" borderId="0" xfId="0" applyNumberFormat="1" applyFill="1"/>
    <xf numFmtId="1" fontId="0" fillId="0" borderId="0" xfId="0" applyNumberFormat="1"/>
    <xf numFmtId="0" fontId="18" fillId="33" borderId="0" xfId="0" applyFont="1" applyFill="1"/>
    <xf numFmtId="0" fontId="0" fillId="37" borderId="13" xfId="0" applyFill="1" applyBorder="1"/>
    <xf numFmtId="10" fontId="0" fillId="37" borderId="13" xfId="42" applyNumberFormat="1" applyFont="1" applyFill="1" applyBorder="1"/>
    <xf numFmtId="10" fontId="0" fillId="37" borderId="13" xfId="0" applyNumberFormat="1" applyFill="1" applyBorder="1"/>
    <xf numFmtId="164" fontId="0" fillId="37" borderId="13" xfId="42" applyNumberFormat="1" applyFont="1" applyFill="1" applyBorder="1"/>
    <xf numFmtId="10" fontId="0" fillId="37" borderId="0" xfId="0" applyNumberFormat="1" applyFill="1"/>
    <xf numFmtId="0" fontId="16" fillId="35" borderId="13" xfId="0" applyFont="1" applyFill="1" applyBorder="1"/>
    <xf numFmtId="10" fontId="22" fillId="35" borderId="13" xfId="0" applyNumberFormat="1" applyFont="1" applyFill="1" applyBorder="1"/>
    <xf numFmtId="0" fontId="16" fillId="37" borderId="13" xfId="0" applyFont="1" applyFill="1" applyBorder="1"/>
    <xf numFmtId="0" fontId="14" fillId="37" borderId="13" xfId="0" applyFont="1" applyFill="1" applyBorder="1"/>
    <xf numFmtId="10" fontId="14" fillId="37" borderId="13" xfId="0" applyNumberFormat="1" applyFont="1" applyFill="1" applyBorder="1"/>
    <xf numFmtId="0" fontId="24" fillId="37" borderId="13" xfId="0" applyFont="1" applyFill="1" applyBorder="1"/>
    <xf numFmtId="0" fontId="25" fillId="37" borderId="13" xfId="0" applyFont="1" applyFill="1" applyBorder="1"/>
    <xf numFmtId="10" fontId="0" fillId="37" borderId="0" xfId="43" applyNumberFormat="1" applyFont="1" applyFill="1"/>
    <xf numFmtId="43" fontId="0" fillId="37" borderId="0" xfId="43" applyFont="1" applyFill="1"/>
    <xf numFmtId="0" fontId="0" fillId="37" borderId="0" xfId="43" applyNumberFormat="1" applyFont="1" applyFill="1"/>
    <xf numFmtId="11" fontId="0" fillId="37" borderId="0" xfId="0" applyNumberFormat="1" applyFill="1"/>
    <xf numFmtId="0" fontId="0" fillId="37" borderId="0" xfId="42" applyNumberFormat="1" applyFont="1" applyFill="1"/>
    <xf numFmtId="10" fontId="23" fillId="37" borderId="0" xfId="42" applyNumberFormat="1" applyFont="1" applyFill="1" applyBorder="1" applyAlignment="1">
      <alignment horizontal="right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0</xdr:row>
          <xdr:rowOff>196850</xdr:rowOff>
        </xdr:from>
        <xdr:to>
          <xdr:col>10</xdr:col>
          <xdr:colOff>0</xdr:colOff>
          <xdr:row>5</xdr:row>
          <xdr:rowOff>31750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107950</xdr:rowOff>
        </xdr:from>
        <xdr:to>
          <xdr:col>1</xdr:col>
          <xdr:colOff>203200</xdr:colOff>
          <xdr:row>6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"/>
  <sheetViews>
    <sheetView tabSelected="1" topLeftCell="A10" zoomScale="79" zoomScaleNormal="100" workbookViewId="0">
      <selection activeCell="I15" sqref="I15"/>
    </sheetView>
  </sheetViews>
  <sheetFormatPr defaultRowHeight="14.5" x14ac:dyDescent="0.35"/>
  <cols>
    <col min="3" max="3" width="19.26953125" customWidth="1"/>
    <col min="4" max="4" width="21.26953125" customWidth="1"/>
    <col min="5" max="5" width="17.1796875" customWidth="1"/>
    <col min="6" max="6" width="18" customWidth="1"/>
    <col min="7" max="7" width="19.7265625" customWidth="1"/>
    <col min="8" max="8" width="16.54296875" customWidth="1"/>
    <col min="9" max="10" width="18.26953125" customWidth="1"/>
    <col min="11" max="11" width="25" customWidth="1"/>
    <col min="12" max="12" width="15.1796875" bestFit="1" customWidth="1"/>
    <col min="13" max="13" width="18.26953125" customWidth="1"/>
    <col min="14" max="14" width="15.453125" bestFit="1" customWidth="1"/>
    <col min="15" max="15" width="15.7265625" bestFit="1" customWidth="1"/>
    <col min="16" max="16" width="13.1796875" bestFit="1" customWidth="1"/>
  </cols>
  <sheetData>
    <row r="1" spans="1:7" ht="23.5" x14ac:dyDescent="0.55000000000000004">
      <c r="C1" s="14" t="s">
        <v>0</v>
      </c>
    </row>
    <row r="3" spans="1:7" x14ac:dyDescent="0.35">
      <c r="A3" s="15" t="s">
        <v>1</v>
      </c>
      <c r="B3" s="16"/>
      <c r="C3" s="16"/>
      <c r="D3" s="16"/>
      <c r="E3" s="16"/>
    </row>
    <row r="4" spans="1:7" x14ac:dyDescent="0.35">
      <c r="B4" s="16"/>
      <c r="C4" s="16" t="s">
        <v>2</v>
      </c>
      <c r="D4" s="17">
        <f ca="1">TODAY()</f>
        <v>45102</v>
      </c>
      <c r="E4" s="16"/>
    </row>
    <row r="5" spans="1:7" x14ac:dyDescent="0.35">
      <c r="B5" s="16"/>
      <c r="C5" s="16"/>
      <c r="D5" s="16"/>
      <c r="E5" s="16"/>
    </row>
    <row r="6" spans="1:7" x14ac:dyDescent="0.35">
      <c r="B6" s="16"/>
      <c r="C6" s="16" t="s">
        <v>3</v>
      </c>
      <c r="D6" s="7" t="s">
        <v>4</v>
      </c>
      <c r="E6" s="16"/>
    </row>
    <row r="7" spans="1:7" x14ac:dyDescent="0.35">
      <c r="B7" s="16"/>
      <c r="C7" s="16"/>
      <c r="D7" s="16"/>
      <c r="E7" s="16"/>
    </row>
    <row r="8" spans="1:7" x14ac:dyDescent="0.35">
      <c r="B8" s="16"/>
      <c r="C8" s="16" t="s">
        <v>5</v>
      </c>
      <c r="D8" s="22">
        <v>5</v>
      </c>
      <c r="E8" s="16"/>
      <c r="F8" s="20"/>
    </row>
    <row r="9" spans="1:7" x14ac:dyDescent="0.35">
      <c r="B9" s="16"/>
      <c r="C9" s="16"/>
      <c r="D9" s="16"/>
      <c r="E9" s="16"/>
    </row>
    <row r="10" spans="1:7" x14ac:dyDescent="0.35">
      <c r="B10" s="16"/>
      <c r="C10" s="16" t="s">
        <v>6</v>
      </c>
      <c r="D10" s="18">
        <v>0.05</v>
      </c>
      <c r="E10" s="16"/>
      <c r="G10" s="23"/>
    </row>
    <row r="11" spans="1:7" x14ac:dyDescent="0.35">
      <c r="B11" s="16"/>
      <c r="C11" s="16"/>
      <c r="D11" s="16"/>
      <c r="E11" s="16"/>
    </row>
    <row r="13" spans="1:7" x14ac:dyDescent="0.35">
      <c r="A13" s="15"/>
    </row>
    <row r="16" spans="1:7" x14ac:dyDescent="0.35">
      <c r="E16" s="36" t="s">
        <v>7</v>
      </c>
      <c r="F16" s="36" t="s">
        <v>8</v>
      </c>
    </row>
    <row r="17" spans="1:16" x14ac:dyDescent="0.35">
      <c r="D17" s="35" t="s">
        <v>9</v>
      </c>
      <c r="E17" s="34">
        <f>Data!U4</f>
        <v>0.14423766070215382</v>
      </c>
      <c r="F17" s="33">
        <f>Data!U6</f>
        <v>0.18974208585185343</v>
      </c>
    </row>
    <row r="19" spans="1:16" x14ac:dyDescent="0.35">
      <c r="A19" s="15" t="s">
        <v>10</v>
      </c>
      <c r="D19" s="30" t="s">
        <v>0</v>
      </c>
      <c r="E19" s="30" t="s">
        <v>11</v>
      </c>
      <c r="F19" s="30" t="s">
        <v>7</v>
      </c>
      <c r="G19" s="30" t="s">
        <v>8</v>
      </c>
      <c r="H19" s="30" t="s">
        <v>12</v>
      </c>
      <c r="I19" s="31" t="s">
        <v>13</v>
      </c>
      <c r="J19" s="31" t="s">
        <v>14</v>
      </c>
      <c r="K19" s="30" t="s">
        <v>15</v>
      </c>
      <c r="L19" s="30" t="s">
        <v>16</v>
      </c>
      <c r="M19" s="30" t="s">
        <v>17</v>
      </c>
      <c r="N19" s="30" t="s">
        <v>18</v>
      </c>
      <c r="O19" s="30" t="s">
        <v>19</v>
      </c>
      <c r="P19" s="30" t="s">
        <v>20</v>
      </c>
    </row>
    <row r="20" spans="1:16" x14ac:dyDescent="0.35">
      <c r="D20" s="30" t="s">
        <v>21</v>
      </c>
      <c r="E20" s="16">
        <v>1</v>
      </c>
      <c r="F20" s="37">
        <v>-5.3123844534134212E-3</v>
      </c>
      <c r="G20" s="37">
        <v>8.6739403332761842E-3</v>
      </c>
      <c r="H20" s="38">
        <v>0.05</v>
      </c>
      <c r="I20" s="38">
        <v>-91.545583677135767</v>
      </c>
      <c r="J20" s="39">
        <v>5.4640688116336898E-4</v>
      </c>
      <c r="K20" s="40">
        <v>2.9856047978268008E-7</v>
      </c>
      <c r="L20" s="16">
        <v>-1.9836291120985243E-5</v>
      </c>
      <c r="M20" s="40">
        <v>-2.4317904050765592E-3</v>
      </c>
      <c r="N20" s="40">
        <v>-3.4741849995217618E-7</v>
      </c>
      <c r="O20" s="16">
        <v>-4.8757591792504988E-2</v>
      </c>
      <c r="P20" s="16">
        <v>-1.0368307724040486</v>
      </c>
    </row>
    <row r="21" spans="1:16" x14ac:dyDescent="0.35">
      <c r="D21" s="30" t="s">
        <v>21</v>
      </c>
      <c r="E21" s="16">
        <v>2</v>
      </c>
      <c r="F21" s="37">
        <v>-6.9840819776213037E-2</v>
      </c>
      <c r="G21" s="37">
        <v>4.3347556758571604E-2</v>
      </c>
      <c r="H21" s="38">
        <v>0.05</v>
      </c>
      <c r="I21" s="38">
        <v>-18.415927923763881</v>
      </c>
      <c r="J21" s="39">
        <v>2.7306394077485138E-3</v>
      </c>
      <c r="K21" s="16">
        <v>7.4563915751491531E-6</v>
      </c>
      <c r="L21" s="16">
        <v>-2.964857188507068E-4</v>
      </c>
      <c r="M21" s="16">
        <v>1.725290694311651E-2</v>
      </c>
      <c r="N21" s="41">
        <v>2.4648419688962946E-6</v>
      </c>
      <c r="O21" s="16">
        <v>7.3202793315343226E-2</v>
      </c>
      <c r="P21" s="16">
        <v>-1.4842065479724613</v>
      </c>
    </row>
    <row r="22" spans="1:16" x14ac:dyDescent="0.35">
      <c r="D22" s="30" t="s">
        <v>21</v>
      </c>
      <c r="E22" s="16">
        <v>3</v>
      </c>
      <c r="F22" s="42">
        <v>-0.10852447982855806</v>
      </c>
      <c r="G22" s="37">
        <v>0.24540696581719176</v>
      </c>
      <c r="H22" s="38">
        <v>0.05</v>
      </c>
      <c r="I22" s="38">
        <v>-3.263804396207052</v>
      </c>
      <c r="J22" s="39">
        <v>1.5459185751314721E-2</v>
      </c>
      <c r="K22" s="16">
        <v>2.3898642409365207E-4</v>
      </c>
      <c r="L22" s="16">
        <v>-4.2279770171782207E-4</v>
      </c>
      <c r="M22" s="16">
        <v>-6.1629546815220648E-2</v>
      </c>
      <c r="N22" s="16">
        <v>-8.8047245612034118E-6</v>
      </c>
      <c r="O22" s="16">
        <v>-4.8892267356121295E-2</v>
      </c>
      <c r="P22" s="16">
        <v>-1.7524004431315456</v>
      </c>
    </row>
    <row r="23" spans="1:16" x14ac:dyDescent="0.35">
      <c r="D23" s="30" t="s">
        <v>21</v>
      </c>
      <c r="E23" s="16">
        <v>4</v>
      </c>
      <c r="F23" s="37">
        <v>-0.40919805675121901</v>
      </c>
      <c r="G23" s="37">
        <v>0.25613138867379126</v>
      </c>
      <c r="H23" s="38">
        <v>0.05</v>
      </c>
      <c r="I23" s="38">
        <v>-3.2281985345507298</v>
      </c>
      <c r="J23" s="39">
        <v>1.6134760890201844E-2</v>
      </c>
      <c r="K23" s="16">
        <v>2.6033050898398698E-4</v>
      </c>
      <c r="L23" s="16">
        <v>-2.1226521155708646E-3</v>
      </c>
      <c r="M23" s="16">
        <v>6.8136295229877214E-2</v>
      </c>
      <c r="N23" s="16">
        <v>9.7343132169802727E-6</v>
      </c>
      <c r="O23" s="16">
        <v>5.0673783141238805E-2</v>
      </c>
      <c r="P23" s="16">
        <v>-3.8369709738720732</v>
      </c>
    </row>
    <row r="24" spans="1:16" x14ac:dyDescent="0.35">
      <c r="D24" s="32" t="s">
        <v>22</v>
      </c>
      <c r="E24" s="16">
        <v>5</v>
      </c>
      <c r="F24" s="29">
        <v>1.5665350656890897E-2</v>
      </c>
      <c r="G24" s="16">
        <v>0.34658041123351341</v>
      </c>
      <c r="H24" s="16">
        <v>0.05</v>
      </c>
      <c r="I24" s="16">
        <v>-2.2873369722548103</v>
      </c>
      <c r="J24" s="16">
        <v>2.1832513747866024E-2</v>
      </c>
      <c r="K24" s="16">
        <v>4.7665865655075894E-4</v>
      </c>
      <c r="L24" s="16">
        <v>4.8425566570313971E-5</v>
      </c>
      <c r="M24" s="16">
        <v>2.4790659065395654E-2</v>
      </c>
      <c r="N24" s="16">
        <v>3.5417252931608736E-6</v>
      </c>
      <c r="O24" s="16">
        <v>1.3502435692496763E-2</v>
      </c>
      <c r="P24" s="16">
        <v>-0.89139209149239218</v>
      </c>
    </row>
    <row r="25" spans="1:16" x14ac:dyDescent="0.35">
      <c r="D25" s="32" t="s">
        <v>23</v>
      </c>
      <c r="E25" s="16">
        <v>6</v>
      </c>
      <c r="F25" s="29">
        <v>-0.20189621444550865</v>
      </c>
      <c r="G25" s="16">
        <v>0.36839015255953406</v>
      </c>
      <c r="H25" s="16">
        <v>0.05</v>
      </c>
      <c r="I25" s="16">
        <v>-2.193123908258626</v>
      </c>
      <c r="J25" s="16">
        <v>2.3206398312325516E-2</v>
      </c>
      <c r="K25" s="16">
        <v>5.3853692263030456E-4</v>
      </c>
      <c r="L25" s="16">
        <v>-9.1747471254457851E-4</v>
      </c>
      <c r="M25" s="16">
        <v>4.2944819808842322E-2</v>
      </c>
      <c r="N25" s="16">
        <v>6.1353251692901491E-6</v>
      </c>
      <c r="O25" s="16">
        <v>2.3481622112046747E-2</v>
      </c>
      <c r="P25" s="16">
        <v>-2.3997468723679449</v>
      </c>
    </row>
    <row r="26" spans="1:16" x14ac:dyDescent="0.35">
      <c r="D26" s="32" t="s">
        <v>24</v>
      </c>
      <c r="E26" s="16">
        <v>7</v>
      </c>
      <c r="F26" s="29">
        <v>-8.2028512402896658E-2</v>
      </c>
      <c r="G26" s="29">
        <v>0.28794194434809356</v>
      </c>
      <c r="H26" s="16">
        <v>0.05</v>
      </c>
      <c r="I26" s="16">
        <v>-2.7752680373788792</v>
      </c>
      <c r="J26" s="16">
        <v>1.8138637542129903E-2</v>
      </c>
      <c r="K26" s="16">
        <v>3.2901017188476431E-4</v>
      </c>
      <c r="L26" s="16">
        <v>-3.4147593247388255E-4</v>
      </c>
      <c r="M26" s="16">
        <v>3.5430988818966336E-3</v>
      </c>
      <c r="N26" s="16">
        <v>5.061859345119046E-7</v>
      </c>
      <c r="O26" s="16">
        <v>2.3684257675321428E-3</v>
      </c>
      <c r="P26" s="16">
        <v>-1.5687038461631939</v>
      </c>
    </row>
    <row r="27" spans="1:16" x14ac:dyDescent="0.35">
      <c r="D27" s="32" t="s">
        <v>25</v>
      </c>
      <c r="E27" s="16">
        <v>8</v>
      </c>
      <c r="F27" s="29">
        <v>-0.17205558007787214</v>
      </c>
      <c r="G27" s="16">
        <v>0.31383272363706122</v>
      </c>
      <c r="H27" s="16">
        <v>0.05</v>
      </c>
      <c r="I27" s="16">
        <v>-2.567019762430748</v>
      </c>
      <c r="J27" s="16">
        <v>1.9769603333755381E-2</v>
      </c>
      <c r="K27" s="16">
        <v>3.9083721597403184E-4</v>
      </c>
      <c r="L27" s="16">
        <v>-8.2068898489088421E-4</v>
      </c>
      <c r="M27" s="16">
        <v>0.13411340188895035</v>
      </c>
      <c r="N27" s="16">
        <v>1.9160153280675356E-5</v>
      </c>
      <c r="O27" s="16">
        <v>8.0642103248314556E-2</v>
      </c>
      <c r="P27" s="16">
        <v>-2.1928616925725204</v>
      </c>
    </row>
    <row r="31" spans="1:16" x14ac:dyDescent="0.35">
      <c r="A31" t="s">
        <v>26</v>
      </c>
    </row>
  </sheetData>
  <dataValidations count="1">
    <dataValidation type="list" allowBlank="1" showInputMessage="1" showErrorMessage="1" sqref="D6" xr:uid="{67C604C9-0DC4-45ED-938D-5DAA57E3BEDC}">
      <formula1>$D$20:$D$23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fficher">
                <anchor moveWithCells="1" sizeWithCells="1">
                  <from>
                    <xdr:col>8</xdr:col>
                    <xdr:colOff>88900</xdr:colOff>
                    <xdr:row>0</xdr:row>
                    <xdr:rowOff>196850</xdr:rowOff>
                  </from>
                  <to>
                    <xdr:col>10</xdr:col>
                    <xdr:colOff>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70F38-B2E8-42DA-9AF4-E6615AE7C205}">
  <sheetPr codeName="Sheet2"/>
  <dimension ref="A1:AK272"/>
  <sheetViews>
    <sheetView topLeftCell="I1" zoomScale="85" zoomScaleNormal="85" workbookViewId="0">
      <selection activeCell="G3" sqref="G3:G6"/>
    </sheetView>
  </sheetViews>
  <sheetFormatPr defaultRowHeight="15" customHeight="1" x14ac:dyDescent="0.35"/>
  <cols>
    <col min="1" max="1" width="12.7265625" customWidth="1"/>
    <col min="2" max="2" width="12.26953125" customWidth="1"/>
    <col min="3" max="3" width="14.26953125" customWidth="1"/>
    <col min="4" max="4" width="22.7265625" customWidth="1"/>
    <col min="5" max="5" width="23.26953125" customWidth="1"/>
    <col min="6" max="6" width="10.26953125" customWidth="1"/>
    <col min="7" max="7" width="12.54296875" customWidth="1"/>
    <col min="8" max="8" width="22.7265625" customWidth="1"/>
    <col min="9" max="9" width="22.54296875" customWidth="1"/>
    <col min="10" max="10" width="9.453125" customWidth="1"/>
    <col min="11" max="11" width="14.26953125" customWidth="1"/>
    <col min="12" max="12" width="22.26953125" customWidth="1"/>
    <col min="13" max="13" width="22.54296875" customWidth="1"/>
    <col min="14" max="14" width="3" customWidth="1"/>
    <col min="15" max="15" width="13.1796875" customWidth="1"/>
    <col min="16" max="16" width="23.1796875" customWidth="1"/>
    <col min="17" max="17" width="22.54296875" customWidth="1"/>
    <col min="18" max="18" width="13.26953125" customWidth="1"/>
    <col min="19" max="19" width="17.26953125" customWidth="1"/>
    <col min="20" max="20" width="21.7265625" bestFit="1" customWidth="1"/>
    <col min="21" max="21" width="24.26953125" customWidth="1"/>
    <col min="22" max="22" width="13.26953125" customWidth="1"/>
    <col min="23" max="23" width="12" bestFit="1" customWidth="1"/>
    <col min="24" max="24" width="22.81640625" bestFit="1" customWidth="1"/>
    <col min="25" max="25" width="23.7265625" bestFit="1" customWidth="1"/>
    <col min="27" max="27" width="11.7265625" bestFit="1" customWidth="1"/>
    <col min="28" max="28" width="22.81640625" bestFit="1" customWidth="1"/>
    <col min="29" max="29" width="23.7265625" bestFit="1" customWidth="1"/>
    <col min="31" max="31" width="12.7265625" bestFit="1" customWidth="1"/>
    <col min="32" max="32" width="22.81640625" bestFit="1" customWidth="1"/>
    <col min="33" max="33" width="23.7265625" bestFit="1" customWidth="1"/>
    <col min="35" max="35" width="11.26953125" bestFit="1" customWidth="1"/>
    <col min="36" max="36" width="22.81640625" bestFit="1" customWidth="1"/>
    <col min="37" max="37" width="23.7265625" bestFit="1" customWidth="1"/>
  </cols>
  <sheetData>
    <row r="1" spans="1:37" ht="15" customHeight="1" x14ac:dyDescent="0.35">
      <c r="A1" s="21"/>
    </row>
    <row r="3" spans="1:37" ht="15" customHeight="1" x14ac:dyDescent="0.35">
      <c r="C3" s="43" t="s">
        <v>21</v>
      </c>
      <c r="D3" s="2" t="s">
        <v>27</v>
      </c>
      <c r="E3" s="5">
        <f>AVERAGE(E15:E264)</f>
        <v>-2.1136861303973637E-5</v>
      </c>
      <c r="G3" s="43" t="s">
        <v>21</v>
      </c>
      <c r="H3" s="2" t="s">
        <v>27</v>
      </c>
      <c r="I3" s="5">
        <f>AVERAGE(I15:I264)</f>
        <v>-2.8725851888592021E-4</v>
      </c>
      <c r="K3" s="43" t="s">
        <v>21</v>
      </c>
      <c r="L3" s="2" t="s">
        <v>27</v>
      </c>
      <c r="M3" s="5">
        <f>AVERAGE(M15:M264)</f>
        <v>-4.5575841692240395E-4</v>
      </c>
      <c r="O3" s="43" t="s">
        <v>21</v>
      </c>
      <c r="P3" s="2" t="s">
        <v>27</v>
      </c>
      <c r="Q3" s="5">
        <f>AVERAGE(Q15:Q264)</f>
        <v>-2.08621146107602E-3</v>
      </c>
      <c r="S3" s="43" t="s">
        <v>9</v>
      </c>
      <c r="T3" s="2" t="s">
        <v>27</v>
      </c>
      <c r="U3" s="5">
        <f>AVERAGE(T15:T271)</f>
        <v>5.3482001585060444E-4</v>
      </c>
      <c r="W3" s="43" t="s">
        <v>22</v>
      </c>
      <c r="X3" s="2" t="s">
        <v>27</v>
      </c>
      <c r="Y3" s="5">
        <f>AVERAGE(Y15:Y271)</f>
        <v>6.1684107244615804E-5</v>
      </c>
      <c r="AA3" s="43" t="s">
        <v>23</v>
      </c>
      <c r="AB3" s="2" t="s">
        <v>27</v>
      </c>
      <c r="AC3" s="5">
        <f>AVERAGE(AC15:AC271)</f>
        <v>-8.9450696333371205E-4</v>
      </c>
      <c r="AE3" s="43" t="s">
        <v>24</v>
      </c>
      <c r="AF3" s="2" t="s">
        <v>27</v>
      </c>
      <c r="AG3" s="5">
        <f>AVERAGE(AG15:AG271)</f>
        <v>-3.3958101227370634E-4</v>
      </c>
      <c r="AI3" s="43" t="s">
        <v>25</v>
      </c>
      <c r="AJ3" s="2" t="s">
        <v>27</v>
      </c>
      <c r="AK3" s="5">
        <f>AVERAGE(AK15:AK271)</f>
        <v>-7.4896245316685727E-4</v>
      </c>
    </row>
    <row r="4" spans="1:37" ht="15" customHeight="1" x14ac:dyDescent="0.35">
      <c r="C4" s="44"/>
      <c r="D4" s="2" t="s">
        <v>28</v>
      </c>
      <c r="E4" s="3">
        <f>(E3+1)^252-1</f>
        <v>-5.3123844534134212E-3</v>
      </c>
      <c r="G4" s="44"/>
      <c r="H4" s="2" t="s">
        <v>28</v>
      </c>
      <c r="I4" s="3">
        <f>(I3+1)^252-1</f>
        <v>-6.9840819776213037E-2</v>
      </c>
      <c r="K4" s="44"/>
      <c r="L4" s="2" t="s">
        <v>28</v>
      </c>
      <c r="M4" s="3">
        <f>(M3+1)^252-1</f>
        <v>-0.10852447982855806</v>
      </c>
      <c r="O4" s="44"/>
      <c r="P4" s="2" t="s">
        <v>28</v>
      </c>
      <c r="Q4" s="3">
        <f>(Q3+1)^252-1</f>
        <v>-0.40919805675121901</v>
      </c>
      <c r="S4" s="44"/>
      <c r="T4" s="2" t="s">
        <v>28</v>
      </c>
      <c r="U4" s="3">
        <f>(U3+1)^252-1</f>
        <v>0.14423766070215382</v>
      </c>
      <c r="W4" s="44"/>
      <c r="X4" s="2" t="s">
        <v>28</v>
      </c>
      <c r="Y4" s="3">
        <f>(Y3+1)^252-1</f>
        <v>1.5665350656890897E-2</v>
      </c>
      <c r="AA4" s="44"/>
      <c r="AB4" s="2" t="s">
        <v>28</v>
      </c>
      <c r="AC4" s="3">
        <f>(AC3+1)^252-1</f>
        <v>-0.20189621444550865</v>
      </c>
      <c r="AE4" s="44"/>
      <c r="AF4" s="2" t="s">
        <v>28</v>
      </c>
      <c r="AG4" s="3">
        <f>(AG3+1)^252-1</f>
        <v>-8.2028512402896658E-2</v>
      </c>
      <c r="AI4" s="44"/>
      <c r="AJ4" s="2" t="s">
        <v>28</v>
      </c>
      <c r="AK4" s="3">
        <f>(AK3+1)^252-1</f>
        <v>-0.17205558007787214</v>
      </c>
    </row>
    <row r="5" spans="1:37" ht="15" customHeight="1" x14ac:dyDescent="0.35">
      <c r="C5" s="44"/>
      <c r="D5" s="2" t="s">
        <v>29</v>
      </c>
      <c r="E5" s="5">
        <f>STDEV(E15:E264)</f>
        <v>5.4640688116336898E-4</v>
      </c>
      <c r="G5" s="44"/>
      <c r="H5" s="2" t="s">
        <v>29</v>
      </c>
      <c r="I5" s="5">
        <f>STDEV(I15:I264)</f>
        <v>2.7306394077485138E-3</v>
      </c>
      <c r="K5" s="44"/>
      <c r="L5" s="2" t="s">
        <v>29</v>
      </c>
      <c r="M5" s="5">
        <f>STDEV(M15:M264)</f>
        <v>1.5459185751314721E-2</v>
      </c>
      <c r="O5" s="44"/>
      <c r="P5" s="2" t="s">
        <v>29</v>
      </c>
      <c r="Q5" s="5">
        <f>STDEV(Q15:Q264)</f>
        <v>1.6134760890201844E-2</v>
      </c>
      <c r="S5" s="44"/>
      <c r="T5" s="2" t="s">
        <v>29</v>
      </c>
      <c r="U5" s="5">
        <f>STDEV(T15:T270)</f>
        <v>1.1952627914444555E-2</v>
      </c>
      <c r="W5" s="44"/>
      <c r="X5" s="2" t="s">
        <v>29</v>
      </c>
      <c r="Y5" s="5">
        <f>STDEV(Y15:Y270)</f>
        <v>2.1832513747866024E-2</v>
      </c>
      <c r="AA5" s="44"/>
      <c r="AB5" s="2" t="s">
        <v>29</v>
      </c>
      <c r="AC5" s="5">
        <f>STDEV(AC15:AC270)</f>
        <v>2.3206398312325516E-2</v>
      </c>
      <c r="AE5" s="44"/>
      <c r="AF5" s="2" t="s">
        <v>29</v>
      </c>
      <c r="AG5" s="5">
        <f>STDEV(AG15:AG270)</f>
        <v>1.8138637542129903E-2</v>
      </c>
      <c r="AI5" s="44"/>
      <c r="AJ5" s="2" t="s">
        <v>29</v>
      </c>
      <c r="AK5" s="5">
        <f>STDEV(AK15:AK270)</f>
        <v>1.9769603333755381E-2</v>
      </c>
    </row>
    <row r="6" spans="1:37" ht="15" customHeight="1" x14ac:dyDescent="0.35">
      <c r="C6" s="44"/>
      <c r="D6" s="2" t="s">
        <v>30</v>
      </c>
      <c r="E6" s="4">
        <f>E5*SQRT(252)</f>
        <v>8.6739403332761842E-3</v>
      </c>
      <c r="G6" s="44"/>
      <c r="H6" s="2" t="s">
        <v>30</v>
      </c>
      <c r="I6" s="4">
        <f>I5*SQRT(252)</f>
        <v>4.3347556758571604E-2</v>
      </c>
      <c r="K6" s="44"/>
      <c r="L6" s="2" t="s">
        <v>30</v>
      </c>
      <c r="M6" s="4">
        <f>M5*SQRT(252)</f>
        <v>0.24540696581719176</v>
      </c>
      <c r="O6" s="44"/>
      <c r="P6" s="2" t="s">
        <v>30</v>
      </c>
      <c r="Q6" s="4">
        <f>Q5*SQRT(252)</f>
        <v>0.25613138867379126</v>
      </c>
      <c r="S6" s="44"/>
      <c r="T6" s="2" t="s">
        <v>30</v>
      </c>
      <c r="U6" s="4">
        <f>U5*SQRT(252)</f>
        <v>0.18974208585185343</v>
      </c>
      <c r="W6" s="44"/>
      <c r="X6" s="2" t="s">
        <v>30</v>
      </c>
      <c r="Y6" s="4">
        <f>Y5*SQRT(252)</f>
        <v>0.34658041123351341</v>
      </c>
      <c r="AA6" s="44"/>
      <c r="AB6" s="2" t="s">
        <v>30</v>
      </c>
      <c r="AC6" s="4">
        <f>AC5*SQRT(252)</f>
        <v>0.36839015255953406</v>
      </c>
      <c r="AE6" s="44"/>
      <c r="AF6" s="2" t="s">
        <v>30</v>
      </c>
      <c r="AG6" s="4">
        <f>AG5*SQRT(252)</f>
        <v>0.28794194434809356</v>
      </c>
      <c r="AI6" s="44"/>
      <c r="AJ6" s="2" t="s">
        <v>30</v>
      </c>
      <c r="AK6" s="4">
        <f>AK5*SQRT(252)</f>
        <v>0.31383272363706122</v>
      </c>
    </row>
    <row r="7" spans="1:37" ht="15" customHeight="1" x14ac:dyDescent="0.35">
      <c r="D7" t="s">
        <v>31</v>
      </c>
      <c r="E7" s="19">
        <f>MIN(E15:E264)</f>
        <v>-5.9149958598939357E-3</v>
      </c>
      <c r="H7" t="s">
        <v>31</v>
      </c>
      <c r="I7" s="19">
        <f>MIN(I15:I264)</f>
        <v>-1.2258800079627655E-2</v>
      </c>
      <c r="L7" t="s">
        <v>31</v>
      </c>
      <c r="M7" s="19">
        <f>MIN(M15:M264)</f>
        <v>-4.2974320007801034E-2</v>
      </c>
      <c r="P7" t="s">
        <v>31</v>
      </c>
      <c r="Q7" s="19">
        <f>MIN(Q15:Q264)</f>
        <v>-4.7227784148367348E-2</v>
      </c>
      <c r="T7" t="s">
        <v>31</v>
      </c>
      <c r="U7" s="19">
        <f>MIN(T15:T270)</f>
        <v>-3.6153502600378043E-2</v>
      </c>
      <c r="X7" t="s">
        <v>31</v>
      </c>
      <c r="Y7" s="19">
        <f>MIN(X15:X270)</f>
        <v>-1</v>
      </c>
      <c r="AB7" t="s">
        <v>31</v>
      </c>
      <c r="AC7" s="19">
        <f>MIN(AC15:AC270)</f>
        <v>-6.4729482474908714E-2</v>
      </c>
      <c r="AF7" t="s">
        <v>31</v>
      </c>
      <c r="AG7" s="19">
        <f>MIN(AG15:AG270)</f>
        <v>-5.5537439252298461E-2</v>
      </c>
      <c r="AJ7" t="s">
        <v>31</v>
      </c>
      <c r="AK7" s="19">
        <f>MIN(AK15:AK270)</f>
        <v>-5.0144699397044357E-2</v>
      </c>
    </row>
    <row r="8" spans="1:37" ht="15" customHeight="1" x14ac:dyDescent="0.35">
      <c r="D8" t="s">
        <v>32</v>
      </c>
      <c r="E8" s="19">
        <f>MAX(E15:E264)</f>
        <v>1.7732930876023685E-3</v>
      </c>
      <c r="H8" t="s">
        <v>32</v>
      </c>
      <c r="I8" s="19">
        <f>MAX(I15:I264)</f>
        <v>6.2390277260863701E-3</v>
      </c>
      <c r="L8" t="s">
        <v>32</v>
      </c>
      <c r="M8" s="19">
        <f>MAX(M15:M264)</f>
        <v>6.0874833089348629E-2</v>
      </c>
      <c r="P8" t="s">
        <v>32</v>
      </c>
      <c r="Q8" s="19">
        <f>MAX(Q15:Q264)</f>
        <v>5.3654240700218847E-2</v>
      </c>
      <c r="T8" t="s">
        <v>32</v>
      </c>
      <c r="U8" s="19">
        <f>MAX(T15:T270)</f>
        <v>3.3821198056481136E-2</v>
      </c>
      <c r="X8" t="s">
        <v>32</v>
      </c>
      <c r="Y8" s="19">
        <f>MAX(X15:X270)</f>
        <v>6.4333188532380362E-2</v>
      </c>
      <c r="AB8" t="s">
        <v>32</v>
      </c>
      <c r="AC8" s="19">
        <f>MAX(AC15:AC270)</f>
        <v>6.1808318529385446E-2</v>
      </c>
      <c r="AF8" t="s">
        <v>32</v>
      </c>
      <c r="AG8" s="19">
        <f>MAX(AG15:AG270)</f>
        <v>7.0978849996767221E-2</v>
      </c>
      <c r="AJ8" t="s">
        <v>32</v>
      </c>
      <c r="AK8" s="19">
        <f>MAX(AK15:AK270)</f>
        <v>7.6994432596450585E-2</v>
      </c>
    </row>
    <row r="9" spans="1:37" ht="15" customHeight="1" x14ac:dyDescent="0.35">
      <c r="D9" s="24" t="s">
        <v>33</v>
      </c>
      <c r="E9">
        <f>CORREL(E15:E264,T15:T264)</f>
        <v>-4.8757591792504988E-2</v>
      </c>
    </row>
    <row r="10" spans="1:37" ht="15" customHeight="1" x14ac:dyDescent="0.35">
      <c r="D10" s="15" t="s">
        <v>34</v>
      </c>
      <c r="E10">
        <f>VAR(E15:E264)</f>
        <v>2.9856047978268008E-7</v>
      </c>
      <c r="I10">
        <f>VAR(I15:I264)</f>
        <v>7.4563915751491531E-6</v>
      </c>
      <c r="M10">
        <f>VAR(M15:M264)</f>
        <v>2.3898642409365207E-4</v>
      </c>
      <c r="Q10">
        <f>VAR(Q15:Q264)</f>
        <v>2.6033050898398698E-4</v>
      </c>
    </row>
    <row r="13" spans="1:37" ht="14.5" x14ac:dyDescent="0.35">
      <c r="A13" t="s">
        <v>35</v>
      </c>
      <c r="B13" t="s">
        <v>21</v>
      </c>
      <c r="D13" s="8" t="s">
        <v>36</v>
      </c>
      <c r="E13" s="11" t="s">
        <v>37</v>
      </c>
      <c r="F13" s="6"/>
      <c r="G13" t="s">
        <v>4</v>
      </c>
      <c r="H13" s="8" t="s">
        <v>36</v>
      </c>
      <c r="I13" s="11" t="s">
        <v>37</v>
      </c>
      <c r="J13" s="6"/>
      <c r="K13" t="s">
        <v>38</v>
      </c>
      <c r="L13" s="8" t="s">
        <v>36</v>
      </c>
      <c r="M13" s="11" t="s">
        <v>37</v>
      </c>
      <c r="N13" s="6"/>
      <c r="O13" t="s">
        <v>39</v>
      </c>
      <c r="P13" s="8" t="s">
        <v>36</v>
      </c>
      <c r="Q13" s="11" t="s">
        <v>37</v>
      </c>
      <c r="R13" s="6"/>
      <c r="S13" t="s">
        <v>40</v>
      </c>
      <c r="T13" s="8" t="s">
        <v>36</v>
      </c>
      <c r="V13" s="6"/>
      <c r="W13" t="s">
        <v>22</v>
      </c>
      <c r="X13" s="8" t="s">
        <v>36</v>
      </c>
      <c r="Y13" s="11" t="s">
        <v>37</v>
      </c>
      <c r="Z13" s="6"/>
      <c r="AA13" t="s">
        <v>23</v>
      </c>
      <c r="AB13" s="8" t="s">
        <v>36</v>
      </c>
      <c r="AC13" s="11" t="s">
        <v>37</v>
      </c>
      <c r="AD13" s="6"/>
      <c r="AE13" t="s">
        <v>24</v>
      </c>
      <c r="AF13" s="8" t="s">
        <v>36</v>
      </c>
      <c r="AG13" s="11" t="s">
        <v>37</v>
      </c>
      <c r="AH13" s="6"/>
      <c r="AI13" t="s">
        <v>25</v>
      </c>
      <c r="AJ13" s="8" t="s">
        <v>36</v>
      </c>
      <c r="AK13" s="11" t="s">
        <v>37</v>
      </c>
    </row>
    <row r="14" spans="1:37" ht="14.5" x14ac:dyDescent="0.35">
      <c r="A14" s="1">
        <v>44652</v>
      </c>
      <c r="B14" t="s">
        <v>41</v>
      </c>
      <c r="D14" s="9"/>
      <c r="E14" s="10"/>
      <c r="F14" s="6"/>
      <c r="G14" t="s">
        <v>41</v>
      </c>
      <c r="H14" s="9"/>
      <c r="I14" s="10"/>
      <c r="J14" s="6"/>
      <c r="K14" t="s">
        <v>41</v>
      </c>
      <c r="L14" s="9"/>
      <c r="M14" s="10"/>
      <c r="N14" s="6"/>
      <c r="O14" t="s">
        <v>41</v>
      </c>
      <c r="P14" s="9"/>
      <c r="Q14" s="10"/>
      <c r="R14" s="6"/>
      <c r="S14" t="s">
        <v>41</v>
      </c>
      <c r="T14" s="25"/>
      <c r="V14" s="6"/>
      <c r="W14" t="s">
        <v>41</v>
      </c>
      <c r="X14" s="25"/>
      <c r="Y14" s="25"/>
      <c r="Z14" s="6"/>
      <c r="AA14" t="s">
        <v>41</v>
      </c>
      <c r="AB14" s="25"/>
      <c r="AC14" s="25"/>
      <c r="AD14" s="6"/>
      <c r="AE14" t="s">
        <v>41</v>
      </c>
      <c r="AF14" s="25"/>
      <c r="AG14" s="25"/>
      <c r="AH14" s="6"/>
      <c r="AI14" t="s">
        <v>41</v>
      </c>
      <c r="AJ14" s="25"/>
      <c r="AK14" s="25"/>
    </row>
    <row r="15" spans="1:37" ht="14.5" x14ac:dyDescent="0.35">
      <c r="A15" s="1">
        <v>44655</v>
      </c>
      <c r="B15">
        <v>53.499599000000003</v>
      </c>
      <c r="D15" s="12">
        <f t="shared" ref="D15:D78" si="0">IFERROR((B16-B15)/B15,-100%)</f>
        <v>-9.3271727140405696E-6</v>
      </c>
      <c r="E15" s="13">
        <v>-5.9149958598939357E-3</v>
      </c>
      <c r="F15" s="6"/>
      <c r="G15">
        <v>1105.5500489999999</v>
      </c>
      <c r="H15" s="9">
        <f t="shared" ref="H15:H77" si="1">IFERROR((G16-G15)/G15,-100%)</f>
        <v>-5.337505982055484E-4</v>
      </c>
      <c r="I15" s="10">
        <f t="shared" ref="I15:I77" si="2">IF(H15=-1,"",H15)</f>
        <v>-5.337505982055484E-4</v>
      </c>
      <c r="J15" s="6"/>
      <c r="K15">
        <v>259.040009</v>
      </c>
      <c r="L15" s="9">
        <f t="shared" ref="L15:L77" si="3">IFERROR((K16-K15)/K15,-100%)</f>
        <v>1.1117989113411378E-2</v>
      </c>
      <c r="M15" s="10">
        <f t="shared" ref="M15:M78" si="4">IF(L15=-1,"",L15)</f>
        <v>1.1117989113411378E-2</v>
      </c>
      <c r="N15" s="6"/>
      <c r="O15">
        <v>171.69000199999999</v>
      </c>
      <c r="P15" s="9">
        <f>IFERROR((O16-O15)/O15,-100%)</f>
        <v>5.0672490527434132E-3</v>
      </c>
      <c r="Q15" s="10">
        <f t="shared" ref="Q15:Q77" si="5">IF(P15=-1,"",P15)</f>
        <v>5.0672490527434132E-3</v>
      </c>
      <c r="R15" s="6"/>
      <c r="S15">
        <v>6519.1601559999999</v>
      </c>
      <c r="T15" s="28">
        <f>IFERROR((S16-S15)/S15,-100%)</f>
        <v>5.9056686871798948E-3</v>
      </c>
      <c r="V15" s="6"/>
      <c r="W15">
        <v>77.75</v>
      </c>
      <c r="X15" s="27">
        <f>IFERROR((W16-W15)/W15,-100%)</f>
        <v>3.331184565916398E-2</v>
      </c>
      <c r="Y15" s="26">
        <f>IF(X15=-1,"",X15)</f>
        <v>3.331184565916398E-2</v>
      </c>
      <c r="Z15" s="6"/>
      <c r="AA15">
        <v>630.64001499999995</v>
      </c>
      <c r="AB15" s="27">
        <f>IFERROR((AA16-AA15)/AA15,-100%)</f>
        <v>1.4905433807590011E-2</v>
      </c>
      <c r="AC15" s="26">
        <f>IF(AB15=-1,"",AB15)</f>
        <v>1.4905433807590011E-2</v>
      </c>
      <c r="AD15" s="6"/>
      <c r="AE15">
        <v>2215.5600589999999</v>
      </c>
      <c r="AF15" s="27">
        <f>IFERROR((AE16-AE15)/AE15,-100%)</f>
        <v>2.2928761417972496E-2</v>
      </c>
      <c r="AG15" s="27">
        <f>IF(AF15=-1,"",AF15)</f>
        <v>2.2928761417972496E-2</v>
      </c>
      <c r="AH15" s="6"/>
      <c r="AI15">
        <v>44.843299999999999</v>
      </c>
      <c r="AJ15" s="27">
        <f>IFERROR((AI16-AI15)/AI15,-100%)</f>
        <v>1.5061335807132913E-2</v>
      </c>
      <c r="AK15" s="27">
        <f>IF(AJ15=-1,"",AJ15)</f>
        <v>1.5061335807132913E-2</v>
      </c>
    </row>
    <row r="16" spans="1:37" ht="14.5" x14ac:dyDescent="0.35">
      <c r="A16" s="1">
        <v>44656</v>
      </c>
      <c r="B16">
        <v>53.499099999999999</v>
      </c>
      <c r="D16" s="12">
        <f t="shared" si="0"/>
        <v>-9.345951614051115E-6</v>
      </c>
      <c r="E16" s="13">
        <v>1.7732930876023685E-3</v>
      </c>
      <c r="F16" s="6"/>
      <c r="G16">
        <v>1104.959961</v>
      </c>
      <c r="H16" s="9">
        <f t="shared" si="1"/>
        <v>1.9276761830105649E-3</v>
      </c>
      <c r="I16" s="10">
        <f t="shared" si="2"/>
        <v>1.9276761830105649E-3</v>
      </c>
      <c r="J16" s="6"/>
      <c r="K16">
        <v>261.92001299999998</v>
      </c>
      <c r="L16" s="9">
        <f t="shared" si="3"/>
        <v>-1.336285822496504E-2</v>
      </c>
      <c r="M16" s="10">
        <f t="shared" si="4"/>
        <v>-1.336285822496504E-2</v>
      </c>
      <c r="N16" s="6"/>
      <c r="O16">
        <v>172.55999800000001</v>
      </c>
      <c r="P16" s="9">
        <f t="shared" ref="P16:P77" si="6">IFERROR((O17-O16)/O16,-100%)</f>
        <v>5.9689268192968234E-3</v>
      </c>
      <c r="Q16" s="10">
        <f t="shared" si="5"/>
        <v>5.9689268192968234E-3</v>
      </c>
      <c r="R16" s="6"/>
      <c r="S16">
        <v>6557.6601559999999</v>
      </c>
      <c r="T16" s="28">
        <f t="shared" ref="T16:T79" si="7">IFERROR((S17-S16)/S16,-100%)</f>
        <v>-1.7826390392164195E-3</v>
      </c>
      <c r="V16" s="6"/>
      <c r="W16">
        <v>80.339995999999999</v>
      </c>
      <c r="X16" s="27">
        <f t="shared" ref="X16:X79" si="8">IFERROR((W17-W16)/W16,-100%)</f>
        <v>-1.6305664242253579E-2</v>
      </c>
      <c r="Y16" s="26">
        <f t="shared" ref="Y16:Y79" si="9">IF(X16=-1,"",X16)</f>
        <v>-1.6305664242253579E-2</v>
      </c>
      <c r="Z16" s="6"/>
      <c r="AA16">
        <v>640.03997800000002</v>
      </c>
      <c r="AB16" s="27">
        <f t="shared" ref="AB16:AB79" si="10">IFERROR((AA17-AA16)/AA16,-100%)</f>
        <v>-1</v>
      </c>
      <c r="AC16" s="26" t="str">
        <f t="shared" ref="AC16:AC79" si="11">IF(AB16=-1,"",AB16)</f>
        <v/>
      </c>
      <c r="AD16" s="6"/>
      <c r="AE16">
        <v>2266.360107</v>
      </c>
      <c r="AF16" s="27">
        <f t="shared" ref="AF16:AF79" si="12">IFERROR((AE17-AE16)/AE16,-100%)</f>
        <v>-1.8862845259215465E-2</v>
      </c>
      <c r="AG16" s="27">
        <f t="shared" ref="AG16:AG79" si="13">IF(AF16=-1,"",AF16)</f>
        <v>-1.8862845259215465E-2</v>
      </c>
      <c r="AH16" s="6"/>
      <c r="AI16">
        <v>45.518700000000003</v>
      </c>
      <c r="AJ16" s="27">
        <f t="shared" ref="AJ16:AJ79" si="14">IFERROR((AI17-AI16)/AI16,-100%)</f>
        <v>-2.9594430420904035E-2</v>
      </c>
      <c r="AK16" s="27">
        <f t="shared" ref="AK16:AK79" si="15">IF(AJ16=-1,"",AJ16)</f>
        <v>-2.9594430420904035E-2</v>
      </c>
    </row>
    <row r="17" spans="1:37" ht="14.5" x14ac:dyDescent="0.35">
      <c r="A17" s="1">
        <v>44657</v>
      </c>
      <c r="B17">
        <v>53.498600000000003</v>
      </c>
      <c r="D17" s="12">
        <f t="shared" si="0"/>
        <v>-9.3460389618118499E-6</v>
      </c>
      <c r="E17" s="13">
        <v>-1.8409684885300895E-3</v>
      </c>
      <c r="F17" s="6"/>
      <c r="G17">
        <v>1107.089966</v>
      </c>
      <c r="H17" s="9">
        <f t="shared" si="1"/>
        <v>-1.0477125036106386E-3</v>
      </c>
      <c r="I17" s="10">
        <f t="shared" si="2"/>
        <v>-1.0477125036106386E-3</v>
      </c>
      <c r="J17" s="6"/>
      <c r="K17">
        <v>258.42001299999998</v>
      </c>
      <c r="L17" s="9">
        <f t="shared" si="3"/>
        <v>-1.9812745694738353E-2</v>
      </c>
      <c r="M17" s="10">
        <f t="shared" si="4"/>
        <v>-1.9812745694738353E-2</v>
      </c>
      <c r="N17" s="6"/>
      <c r="O17">
        <v>173.58999600000001</v>
      </c>
      <c r="P17" s="9">
        <f>IFERROR((O18-O17)/O17,-100%)</f>
        <v>-2.0220024660868162E-2</v>
      </c>
      <c r="Q17" s="10">
        <f t="shared" si="5"/>
        <v>-2.0220024660868162E-2</v>
      </c>
      <c r="R17" s="6"/>
      <c r="S17">
        <v>6545.9702150000003</v>
      </c>
      <c r="T17" s="28">
        <f t="shared" si="7"/>
        <v>1.8316224495682778E-3</v>
      </c>
      <c r="V17" s="6"/>
      <c r="W17">
        <v>79.029999000000004</v>
      </c>
      <c r="X17" s="27">
        <f t="shared" si="8"/>
        <v>-2.3914969301720483E-2</v>
      </c>
      <c r="Y17" s="26">
        <f t="shared" si="9"/>
        <v>-2.3914969301720483E-2</v>
      </c>
      <c r="Z17" s="6"/>
      <c r="AA17" t="s">
        <v>42</v>
      </c>
      <c r="AB17" s="27">
        <f t="shared" si="10"/>
        <v>-1</v>
      </c>
      <c r="AC17" s="26" t="str">
        <f t="shared" si="11"/>
        <v/>
      </c>
      <c r="AD17" s="6"/>
      <c r="AE17">
        <v>2223.610107</v>
      </c>
      <c r="AF17" s="27">
        <f t="shared" si="12"/>
        <v>-2.6137728380094982E-2</v>
      </c>
      <c r="AG17" s="27">
        <f t="shared" si="13"/>
        <v>-2.6137728380094982E-2</v>
      </c>
      <c r="AH17" s="6"/>
      <c r="AI17">
        <v>44.171599999999998</v>
      </c>
      <c r="AJ17" s="27">
        <f t="shared" si="14"/>
        <v>-2.238542411866443E-2</v>
      </c>
      <c r="AK17" s="27">
        <f t="shared" si="15"/>
        <v>-2.238542411866443E-2</v>
      </c>
    </row>
    <row r="18" spans="1:37" ht="14.5" x14ac:dyDescent="0.35">
      <c r="A18" s="1">
        <v>44658</v>
      </c>
      <c r="B18">
        <v>53.498100000000001</v>
      </c>
      <c r="D18" s="12">
        <f t="shared" si="0"/>
        <v>-1</v>
      </c>
      <c r="E18" s="13" t="str">
        <f t="shared" ref="E18:E77" si="16">IF(D18=-1,"",D18)</f>
        <v/>
      </c>
      <c r="F18" s="6"/>
      <c r="G18">
        <v>1105.9300539999999</v>
      </c>
      <c r="H18" s="9">
        <f t="shared" si="1"/>
        <v>-6.239671283948063E-4</v>
      </c>
      <c r="I18" s="10">
        <f t="shared" si="2"/>
        <v>-6.239671283948063E-4</v>
      </c>
      <c r="J18" s="6"/>
      <c r="K18">
        <v>253.300003</v>
      </c>
      <c r="L18" s="9">
        <f t="shared" si="3"/>
        <v>5.0927476696477165E-3</v>
      </c>
      <c r="M18" s="10">
        <f t="shared" si="4"/>
        <v>5.0927476696477165E-3</v>
      </c>
      <c r="N18" s="6"/>
      <c r="O18">
        <v>170.08000200000001</v>
      </c>
      <c r="P18" s="9">
        <f t="shared" si="6"/>
        <v>-8.2902397896256769E-3</v>
      </c>
      <c r="Q18" s="10">
        <f t="shared" si="5"/>
        <v>-8.2902397896256769E-3</v>
      </c>
      <c r="R18" s="6"/>
      <c r="S18">
        <v>6557.9599609999996</v>
      </c>
      <c r="T18" s="28">
        <f t="shared" si="7"/>
        <v>1.2923226202051526E-2</v>
      </c>
      <c r="V18" s="6"/>
      <c r="W18">
        <v>77.139999000000003</v>
      </c>
      <c r="X18" s="27">
        <f t="shared" si="8"/>
        <v>-1.1278221561812561E-2</v>
      </c>
      <c r="Y18" s="26">
        <f t="shared" si="9"/>
        <v>-1.1278221561812561E-2</v>
      </c>
      <c r="Z18" s="6"/>
      <c r="AA18">
        <v>602.39001499999995</v>
      </c>
      <c r="AB18" s="27">
        <f t="shared" si="10"/>
        <v>1.1089147950103529E-2</v>
      </c>
      <c r="AC18" s="26">
        <f t="shared" si="11"/>
        <v>1.1089147950103529E-2</v>
      </c>
      <c r="AD18" s="6"/>
      <c r="AE18">
        <v>2165.48999</v>
      </c>
      <c r="AF18" s="27">
        <f t="shared" si="12"/>
        <v>-3.7869858728831716E-4</v>
      </c>
      <c r="AG18" s="27">
        <f t="shared" si="13"/>
        <v>-3.7869858728831716E-4</v>
      </c>
      <c r="AH18" s="6"/>
      <c r="AI18">
        <v>43.1828</v>
      </c>
      <c r="AJ18" s="27">
        <f t="shared" si="14"/>
        <v>2.4778152412535046E-3</v>
      </c>
      <c r="AK18" s="27">
        <f t="shared" si="15"/>
        <v>2.4778152412535046E-3</v>
      </c>
    </row>
    <row r="19" spans="1:37" ht="14.5" x14ac:dyDescent="0.35">
      <c r="A19" s="1">
        <v>44659</v>
      </c>
      <c r="B19" t="s">
        <v>42</v>
      </c>
      <c r="D19" s="12">
        <f t="shared" si="0"/>
        <v>-1</v>
      </c>
      <c r="E19" s="13" t="str">
        <f t="shared" si="16"/>
        <v/>
      </c>
      <c r="F19" s="6"/>
      <c r="G19">
        <v>1105.23999</v>
      </c>
      <c r="H19" s="9">
        <f t="shared" si="1"/>
        <v>-3.0581638653881704E-3</v>
      </c>
      <c r="I19" s="10">
        <f t="shared" si="2"/>
        <v>-3.0581638653881704E-3</v>
      </c>
      <c r="J19" s="6"/>
      <c r="K19">
        <v>254.58999600000001</v>
      </c>
      <c r="L19" s="9">
        <f t="shared" si="3"/>
        <v>-1</v>
      </c>
      <c r="M19" s="10" t="str">
        <f t="shared" si="4"/>
        <v/>
      </c>
      <c r="N19" s="6"/>
      <c r="O19">
        <v>168.66999799999999</v>
      </c>
      <c r="P19" s="9">
        <f t="shared" si="6"/>
        <v>4.0908460792180631E-3</v>
      </c>
      <c r="Q19" s="10">
        <f t="shared" si="5"/>
        <v>4.0908460792180631E-3</v>
      </c>
      <c r="R19" s="6"/>
      <c r="S19">
        <v>6642.7099609999996</v>
      </c>
      <c r="T19" s="28">
        <f t="shared" si="7"/>
        <v>-3.615997106756703E-3</v>
      </c>
      <c r="V19" s="6"/>
      <c r="W19">
        <v>76.269997000000004</v>
      </c>
      <c r="X19" s="27">
        <f t="shared" si="8"/>
        <v>-2.3600315599855173E-2</v>
      </c>
      <c r="Y19" s="26">
        <f t="shared" si="9"/>
        <v>-2.3600315599855173E-2</v>
      </c>
      <c r="Z19" s="6"/>
      <c r="AA19">
        <v>609.07000700000003</v>
      </c>
      <c r="AB19" s="27">
        <f t="shared" si="10"/>
        <v>-1</v>
      </c>
      <c r="AC19" s="26" t="str">
        <f t="shared" si="11"/>
        <v/>
      </c>
      <c r="AD19" s="6"/>
      <c r="AE19">
        <v>2164.669922</v>
      </c>
      <c r="AF19" s="27">
        <f t="shared" si="12"/>
        <v>-9.5950055890322156E-3</v>
      </c>
      <c r="AG19" s="27">
        <f t="shared" si="13"/>
        <v>-9.5950055890322156E-3</v>
      </c>
      <c r="AH19" s="6"/>
      <c r="AI19">
        <v>43.289799000000002</v>
      </c>
      <c r="AJ19" s="27">
        <f t="shared" si="14"/>
        <v>-1.6440385874741646E-2</v>
      </c>
      <c r="AK19" s="27">
        <f t="shared" si="15"/>
        <v>-1.6440385874741646E-2</v>
      </c>
    </row>
    <row r="20" spans="1:37" ht="14.5" x14ac:dyDescent="0.35">
      <c r="A20" s="1">
        <v>44662</v>
      </c>
      <c r="B20">
        <v>53.495998</v>
      </c>
      <c r="D20" s="12">
        <f t="shared" si="0"/>
        <v>-9.3278005580493469E-6</v>
      </c>
      <c r="E20" s="13">
        <f t="shared" si="16"/>
        <v>-9.3278005580493469E-6</v>
      </c>
      <c r="F20" s="6"/>
      <c r="G20">
        <v>1101.8599850000001</v>
      </c>
      <c r="H20" s="9">
        <f t="shared" si="1"/>
        <v>-1</v>
      </c>
      <c r="I20" s="10" t="str">
        <f t="shared" si="2"/>
        <v/>
      </c>
      <c r="J20" s="6"/>
      <c r="L20" s="9">
        <f t="shared" si="3"/>
        <v>-1</v>
      </c>
      <c r="M20" s="10" t="str">
        <f t="shared" si="4"/>
        <v/>
      </c>
      <c r="N20" s="6"/>
      <c r="O20">
        <v>169.36000100000001</v>
      </c>
      <c r="P20" s="9">
        <f t="shared" si="6"/>
        <v>3.4246634186072158E-3</v>
      </c>
      <c r="Q20" s="10">
        <f t="shared" si="5"/>
        <v>3.4246634186072158E-3</v>
      </c>
      <c r="R20" s="6"/>
      <c r="S20">
        <v>6618.6899409999996</v>
      </c>
      <c r="T20" s="28">
        <f t="shared" si="7"/>
        <v>-2.535094414388727E-2</v>
      </c>
      <c r="V20" s="6"/>
      <c r="W20">
        <v>74.470000999999996</v>
      </c>
      <c r="X20" s="27">
        <f t="shared" si="8"/>
        <v>-1.4233879223393534E-2</v>
      </c>
      <c r="Y20" s="26">
        <f t="shared" si="9"/>
        <v>-1.4233879223393534E-2</v>
      </c>
      <c r="Z20" s="6"/>
      <c r="AA20" t="s">
        <v>42</v>
      </c>
      <c r="AB20" s="27">
        <f t="shared" si="10"/>
        <v>-1</v>
      </c>
      <c r="AC20" s="26" t="str">
        <f t="shared" si="11"/>
        <v/>
      </c>
      <c r="AD20" s="6"/>
      <c r="AE20">
        <v>2143.8999020000001</v>
      </c>
      <c r="AF20" s="27">
        <f t="shared" si="12"/>
        <v>-1.2561188596015021E-2</v>
      </c>
      <c r="AG20" s="27">
        <f t="shared" si="13"/>
        <v>-1.2561188596015021E-2</v>
      </c>
      <c r="AH20" s="6"/>
      <c r="AI20">
        <v>42.578097999999997</v>
      </c>
      <c r="AJ20" s="27">
        <f t="shared" si="14"/>
        <v>-1.4810431410064256E-2</v>
      </c>
      <c r="AK20" s="27">
        <f t="shared" si="15"/>
        <v>-1.4810431410064256E-2</v>
      </c>
    </row>
    <row r="21" spans="1:37" ht="14.5" x14ac:dyDescent="0.35">
      <c r="A21" s="1">
        <v>44663</v>
      </c>
      <c r="B21">
        <v>53.495499000000002</v>
      </c>
      <c r="D21" s="12">
        <f t="shared" si="0"/>
        <v>-9.3465807282662682E-6</v>
      </c>
      <c r="E21" s="13">
        <f t="shared" si="16"/>
        <v>-9.3465807282662682E-6</v>
      </c>
      <c r="F21" s="6"/>
      <c r="G21" t="s">
        <v>42</v>
      </c>
      <c r="H21" s="9">
        <f t="shared" si="1"/>
        <v>-1</v>
      </c>
      <c r="I21" s="10" t="str">
        <f t="shared" si="2"/>
        <v/>
      </c>
      <c r="J21" s="6"/>
      <c r="K21">
        <v>246.69000199999999</v>
      </c>
      <c r="L21" s="9">
        <f t="shared" si="3"/>
        <v>-7.4587376265049651E-3</v>
      </c>
      <c r="M21" s="10">
        <f t="shared" si="4"/>
        <v>-7.4587376265049651E-3</v>
      </c>
      <c r="N21" s="6"/>
      <c r="O21">
        <v>169.94000199999999</v>
      </c>
      <c r="P21" s="9">
        <f t="shared" si="6"/>
        <v>-1.1592332451543671E-2</v>
      </c>
      <c r="Q21" s="10">
        <f t="shared" si="5"/>
        <v>-1.1592332451543671E-2</v>
      </c>
      <c r="R21" s="6"/>
      <c r="S21">
        <v>6450.8999020000001</v>
      </c>
      <c r="T21" s="28">
        <f t="shared" si="7"/>
        <v>1.0713212892758357E-2</v>
      </c>
      <c r="V21" s="6"/>
      <c r="W21">
        <v>73.410004000000001</v>
      </c>
      <c r="X21" s="27">
        <f t="shared" si="8"/>
        <v>-5.4488758780070444E-3</v>
      </c>
      <c r="Y21" s="26">
        <f t="shared" si="9"/>
        <v>-5.4488758780070444E-3</v>
      </c>
      <c r="Z21" s="6"/>
      <c r="AA21">
        <v>583.96002199999998</v>
      </c>
      <c r="AB21" s="27">
        <f t="shared" si="10"/>
        <v>2.0258160754710087E-2</v>
      </c>
      <c r="AC21" s="26">
        <f t="shared" si="11"/>
        <v>2.0258160754710087E-2</v>
      </c>
      <c r="AD21" s="6"/>
      <c r="AE21">
        <v>2116.969971</v>
      </c>
      <c r="AF21" s="27">
        <f t="shared" si="12"/>
        <v>-4.3505392736626685E-3</v>
      </c>
      <c r="AG21" s="27">
        <f t="shared" si="13"/>
        <v>-4.3505392736626685E-3</v>
      </c>
      <c r="AH21" s="6"/>
      <c r="AI21">
        <v>41.947498000000003</v>
      </c>
      <c r="AJ21" s="27">
        <f t="shared" si="14"/>
        <v>-4.4507779701188467E-3</v>
      </c>
      <c r="AK21" s="27">
        <f t="shared" si="15"/>
        <v>-4.4507779701188467E-3</v>
      </c>
    </row>
    <row r="22" spans="1:37" ht="14.5" x14ac:dyDescent="0.35">
      <c r="A22" s="1">
        <v>44664</v>
      </c>
      <c r="B22">
        <v>53.494999</v>
      </c>
      <c r="D22" s="12">
        <f t="shared" si="0"/>
        <v>-1</v>
      </c>
      <c r="E22" s="13" t="str">
        <f t="shared" si="16"/>
        <v/>
      </c>
      <c r="F22" s="6"/>
      <c r="G22">
        <v>1098.3000489999999</v>
      </c>
      <c r="H22" s="9">
        <f t="shared" si="1"/>
        <v>-8.4681230857336267E-4</v>
      </c>
      <c r="I22" s="10">
        <f t="shared" si="2"/>
        <v>-8.4681230857336267E-4</v>
      </c>
      <c r="J22" s="6"/>
      <c r="K22">
        <v>244.85000600000001</v>
      </c>
      <c r="L22" s="9">
        <f t="shared" si="3"/>
        <v>1.0087812699502227E-2</v>
      </c>
      <c r="M22" s="10">
        <f t="shared" si="4"/>
        <v>1.0087812699502227E-2</v>
      </c>
      <c r="N22" s="6"/>
      <c r="O22">
        <v>167.970001</v>
      </c>
      <c r="P22" s="9">
        <f t="shared" si="6"/>
        <v>-6.9060129373934402E-3</v>
      </c>
      <c r="Q22" s="10">
        <f t="shared" si="5"/>
        <v>-6.9060129373934402E-3</v>
      </c>
      <c r="R22" s="6"/>
      <c r="S22">
        <v>6520.0097660000001</v>
      </c>
      <c r="T22" s="28">
        <f t="shared" si="7"/>
        <v>-1.4203945595746522E-2</v>
      </c>
      <c r="V22" s="6"/>
      <c r="W22">
        <v>73.010002</v>
      </c>
      <c r="X22" s="27">
        <f t="shared" si="8"/>
        <v>1.6162169123074492E-2</v>
      </c>
      <c r="Y22" s="26">
        <f t="shared" si="9"/>
        <v>1.6162169123074492E-2</v>
      </c>
      <c r="Z22" s="6"/>
      <c r="AA22">
        <v>595.78997800000002</v>
      </c>
      <c r="AB22" s="27">
        <f t="shared" si="10"/>
        <v>-2.1987573614405391E-2</v>
      </c>
      <c r="AC22" s="26">
        <f t="shared" si="11"/>
        <v>-2.1987573614405391E-2</v>
      </c>
      <c r="AD22" s="6"/>
      <c r="AE22">
        <v>2107.76001</v>
      </c>
      <c r="AF22" s="27">
        <f t="shared" si="12"/>
        <v>2.0903735620261637E-2</v>
      </c>
      <c r="AG22" s="27">
        <f t="shared" si="13"/>
        <v>2.0903735620261637E-2</v>
      </c>
      <c r="AH22" s="6"/>
      <c r="AI22">
        <v>41.760798999999999</v>
      </c>
      <c r="AJ22" s="27">
        <f t="shared" si="14"/>
        <v>1.7123714515136543E-2</v>
      </c>
      <c r="AK22" s="27">
        <f t="shared" si="15"/>
        <v>1.7123714515136543E-2</v>
      </c>
    </row>
    <row r="23" spans="1:37" ht="14.5" x14ac:dyDescent="0.35">
      <c r="A23" s="1">
        <v>44665</v>
      </c>
      <c r="B23" t="s">
        <v>42</v>
      </c>
      <c r="D23" s="12">
        <f t="shared" si="0"/>
        <v>-1</v>
      </c>
      <c r="E23" s="13" t="str">
        <f t="shared" si="16"/>
        <v/>
      </c>
      <c r="F23" s="6"/>
      <c r="G23">
        <v>1097.369995</v>
      </c>
      <c r="H23" s="9">
        <f t="shared" si="1"/>
        <v>-1.9136435382489986E-3</v>
      </c>
      <c r="I23" s="10">
        <f t="shared" si="2"/>
        <v>-1.9136435382489986E-3</v>
      </c>
      <c r="J23" s="6"/>
      <c r="K23">
        <v>247.320007</v>
      </c>
      <c r="L23" s="9">
        <f t="shared" si="3"/>
        <v>-1.4839127026225628E-2</v>
      </c>
      <c r="M23" s="10">
        <f t="shared" si="4"/>
        <v>-1.4839127026225628E-2</v>
      </c>
      <c r="N23" s="6"/>
      <c r="O23">
        <v>166.80999800000001</v>
      </c>
      <c r="P23" s="9">
        <f t="shared" si="6"/>
        <v>9.7716205236090536E-3</v>
      </c>
      <c r="Q23" s="10">
        <f t="shared" si="5"/>
        <v>9.7716205236090536E-3</v>
      </c>
      <c r="R23" s="6"/>
      <c r="S23">
        <v>6427.3999020000001</v>
      </c>
      <c r="T23" s="28">
        <f t="shared" si="7"/>
        <v>1.4489511220706928E-2</v>
      </c>
      <c r="V23" s="6"/>
      <c r="W23">
        <v>74.190002000000007</v>
      </c>
      <c r="X23" s="27">
        <f t="shared" si="8"/>
        <v>-8.7613018260870659E-3</v>
      </c>
      <c r="Y23" s="26">
        <f t="shared" si="9"/>
        <v>-8.7613018260870659E-3</v>
      </c>
      <c r="Z23" s="6"/>
      <c r="AA23">
        <v>582.69000200000005</v>
      </c>
      <c r="AB23" s="27">
        <f t="shared" si="10"/>
        <v>4.238910898629056E-3</v>
      </c>
      <c r="AC23" s="26">
        <f t="shared" si="11"/>
        <v>4.238910898629056E-3</v>
      </c>
      <c r="AD23" s="6"/>
      <c r="AE23">
        <v>2151.820068</v>
      </c>
      <c r="AF23" s="27">
        <f t="shared" si="12"/>
        <v>-1.5391675861998669E-2</v>
      </c>
      <c r="AG23" s="27">
        <f t="shared" si="13"/>
        <v>-1.5391675861998669E-2</v>
      </c>
      <c r="AH23" s="6"/>
      <c r="AI23">
        <v>42.475898999999998</v>
      </c>
      <c r="AJ23" s="27">
        <f t="shared" si="14"/>
        <v>-2.2530353036200629E-2</v>
      </c>
      <c r="AK23" s="27">
        <f t="shared" si="15"/>
        <v>-2.2530353036200629E-2</v>
      </c>
    </row>
    <row r="24" spans="1:37" ht="14.5" x14ac:dyDescent="0.35">
      <c r="A24" s="1">
        <v>44670</v>
      </c>
      <c r="B24">
        <v>53.4925</v>
      </c>
      <c r="D24" s="12">
        <f t="shared" si="0"/>
        <v>-9.3284105247989299E-6</v>
      </c>
      <c r="E24" s="13">
        <f t="shared" si="16"/>
        <v>-9.3284105247989299E-6</v>
      </c>
      <c r="F24" s="6"/>
      <c r="G24">
        <v>1095.2700199999999</v>
      </c>
      <c r="H24" s="9">
        <f t="shared" si="1"/>
        <v>8.3990338747714339E-4</v>
      </c>
      <c r="I24" s="10">
        <f t="shared" si="2"/>
        <v>8.3990338747714339E-4</v>
      </c>
      <c r="J24" s="6"/>
      <c r="K24">
        <v>243.64999399999999</v>
      </c>
      <c r="L24" s="9">
        <f t="shared" si="3"/>
        <v>1.2353827515382554E-2</v>
      </c>
      <c r="M24" s="10">
        <f t="shared" si="4"/>
        <v>1.2353827515382554E-2</v>
      </c>
      <c r="N24" s="6"/>
      <c r="O24">
        <v>168.44000199999999</v>
      </c>
      <c r="P24" s="9">
        <f t="shared" si="6"/>
        <v>-1.7394959422999706E-2</v>
      </c>
      <c r="Q24" s="10">
        <f t="shared" si="5"/>
        <v>-1.7394959422999706E-2</v>
      </c>
      <c r="R24" s="6"/>
      <c r="S24">
        <v>6520.5297849999997</v>
      </c>
      <c r="T24" s="28">
        <f t="shared" si="7"/>
        <v>5.6943794790134828E-3</v>
      </c>
      <c r="V24" s="6"/>
      <c r="W24">
        <v>73.540001000000004</v>
      </c>
      <c r="X24" s="27">
        <f t="shared" si="8"/>
        <v>-1</v>
      </c>
      <c r="Y24" s="26" t="str">
        <f t="shared" si="9"/>
        <v/>
      </c>
      <c r="Z24" s="6"/>
      <c r="AA24">
        <v>585.15997300000004</v>
      </c>
      <c r="AB24" s="27">
        <f t="shared" si="10"/>
        <v>-1</v>
      </c>
      <c r="AC24" s="26" t="str">
        <f t="shared" si="11"/>
        <v/>
      </c>
      <c r="AD24" s="6"/>
      <c r="AE24">
        <v>2118.6999510000001</v>
      </c>
      <c r="AF24" s="27">
        <f t="shared" si="12"/>
        <v>1.8652957433329325E-2</v>
      </c>
      <c r="AG24" s="27">
        <f t="shared" si="13"/>
        <v>1.8652957433329325E-2</v>
      </c>
      <c r="AH24" s="6"/>
      <c r="AI24">
        <v>41.518901999999997</v>
      </c>
      <c r="AJ24" s="27">
        <f t="shared" si="14"/>
        <v>-1</v>
      </c>
      <c r="AK24" s="27" t="str">
        <f t="shared" si="15"/>
        <v/>
      </c>
    </row>
    <row r="25" spans="1:37" ht="14.5" x14ac:dyDescent="0.35">
      <c r="A25" s="1">
        <v>44671</v>
      </c>
      <c r="B25">
        <v>53.492001000000002</v>
      </c>
      <c r="D25" s="12">
        <f t="shared" si="0"/>
        <v>-9.3471919287967442E-6</v>
      </c>
      <c r="E25" s="13">
        <f t="shared" si="16"/>
        <v>-9.3471919287967442E-6</v>
      </c>
      <c r="F25" s="6"/>
      <c r="G25">
        <v>1096.1899410000001</v>
      </c>
      <c r="H25" s="9">
        <f t="shared" si="1"/>
        <v>-3.1563517147800767E-3</v>
      </c>
      <c r="I25" s="10">
        <f t="shared" si="2"/>
        <v>-3.1563517147800767E-3</v>
      </c>
      <c r="J25" s="6"/>
      <c r="K25">
        <v>246.66000399999999</v>
      </c>
      <c r="L25" s="9">
        <f t="shared" si="3"/>
        <v>3.5676193372640311E-3</v>
      </c>
      <c r="M25" s="10">
        <f t="shared" si="4"/>
        <v>3.5676193372640311E-3</v>
      </c>
      <c r="N25" s="6"/>
      <c r="O25">
        <v>165.509995</v>
      </c>
      <c r="P25" s="9">
        <f t="shared" si="6"/>
        <v>1.3292309023391388E-3</v>
      </c>
      <c r="Q25" s="10">
        <f t="shared" si="5"/>
        <v>1.3292309023391388E-3</v>
      </c>
      <c r="R25" s="6"/>
      <c r="S25">
        <v>6557.6601559999999</v>
      </c>
      <c r="T25" s="28">
        <f t="shared" si="7"/>
        <v>-1.3472808120311435E-2</v>
      </c>
      <c r="V25" s="6"/>
      <c r="W25" t="s">
        <v>42</v>
      </c>
      <c r="X25" s="27">
        <f t="shared" si="8"/>
        <v>-1</v>
      </c>
      <c r="Y25" s="26" t="str">
        <f t="shared" si="9"/>
        <v/>
      </c>
      <c r="Z25" s="6"/>
      <c r="AA25" t="s">
        <v>42</v>
      </c>
      <c r="AB25" s="27">
        <f t="shared" si="10"/>
        <v>-1</v>
      </c>
      <c r="AC25" s="26" t="str">
        <f t="shared" si="11"/>
        <v/>
      </c>
      <c r="AD25" s="6"/>
      <c r="AE25">
        <v>2158.219971</v>
      </c>
      <c r="AF25" s="27">
        <f t="shared" si="12"/>
        <v>-1.1565068128081011E-2</v>
      </c>
      <c r="AG25" s="27">
        <f t="shared" si="13"/>
        <v>-1.1565068128081011E-2</v>
      </c>
      <c r="AH25" s="6"/>
      <c r="AI25" t="s">
        <v>42</v>
      </c>
      <c r="AJ25" s="27">
        <f t="shared" si="14"/>
        <v>-1</v>
      </c>
      <c r="AK25" s="27" t="str">
        <f t="shared" si="15"/>
        <v/>
      </c>
    </row>
    <row r="26" spans="1:37" ht="14.5" x14ac:dyDescent="0.35">
      <c r="A26" s="1">
        <v>44672</v>
      </c>
      <c r="B26">
        <v>53.491501</v>
      </c>
      <c r="D26" s="12">
        <f t="shared" si="0"/>
        <v>-9.3472792996103701E-6</v>
      </c>
      <c r="E26" s="13">
        <f t="shared" si="16"/>
        <v>-9.3472792996103701E-6</v>
      </c>
      <c r="F26" s="6"/>
      <c r="G26">
        <v>1092.7299800000001</v>
      </c>
      <c r="H26" s="9">
        <f t="shared" si="1"/>
        <v>-3.8428615274210609E-4</v>
      </c>
      <c r="I26" s="10">
        <f t="shared" si="2"/>
        <v>-3.8428615274210609E-4</v>
      </c>
      <c r="J26" s="6"/>
      <c r="K26">
        <v>247.53999300000001</v>
      </c>
      <c r="L26" s="9">
        <f t="shared" si="3"/>
        <v>-1.6199378336412919E-2</v>
      </c>
      <c r="M26" s="10">
        <f t="shared" si="4"/>
        <v>-1.6199378336412919E-2</v>
      </c>
      <c r="N26" s="6"/>
      <c r="O26">
        <v>165.729996</v>
      </c>
      <c r="P26" s="9">
        <f t="shared" si="6"/>
        <v>7.2412962587658375E-4</v>
      </c>
      <c r="Q26" s="10">
        <f t="shared" si="5"/>
        <v>7.2412962587658375E-4</v>
      </c>
      <c r="R26" s="6"/>
      <c r="S26">
        <v>6469.3100590000004</v>
      </c>
      <c r="T26" s="28">
        <f t="shared" si="7"/>
        <v>-8.6254622967674578E-4</v>
      </c>
      <c r="V26" s="6"/>
      <c r="W26">
        <v>74.629997000000003</v>
      </c>
      <c r="X26" s="27">
        <f t="shared" si="8"/>
        <v>-3.2158570232824833E-2</v>
      </c>
      <c r="Y26" s="26">
        <f t="shared" si="9"/>
        <v>-3.2158570232824833E-2</v>
      </c>
      <c r="Z26" s="6"/>
      <c r="AA26">
        <v>579.54998799999998</v>
      </c>
      <c r="AB26" s="27">
        <f t="shared" si="10"/>
        <v>4.7968752610862159E-3</v>
      </c>
      <c r="AC26" s="26">
        <f t="shared" si="11"/>
        <v>4.7968752610862159E-3</v>
      </c>
      <c r="AD26" s="6"/>
      <c r="AE26">
        <v>2133.26001</v>
      </c>
      <c r="AF26" s="27">
        <f t="shared" si="12"/>
        <v>-2.3199230177290968E-2</v>
      </c>
      <c r="AG26" s="27">
        <f t="shared" si="13"/>
        <v>-2.3199230177290968E-2</v>
      </c>
      <c r="AH26" s="6"/>
      <c r="AI26">
        <v>42.646000000000001</v>
      </c>
      <c r="AJ26" s="27">
        <f t="shared" si="14"/>
        <v>-1.8172630492895722E-3</v>
      </c>
      <c r="AK26" s="27">
        <f t="shared" si="15"/>
        <v>-1.8172630492895722E-3</v>
      </c>
    </row>
    <row r="27" spans="1:37" ht="14.5" x14ac:dyDescent="0.35">
      <c r="A27" s="1">
        <v>44673</v>
      </c>
      <c r="B27">
        <v>53.491000999999997</v>
      </c>
      <c r="D27" s="12">
        <f t="shared" si="0"/>
        <v>-1</v>
      </c>
      <c r="E27" s="13" t="str">
        <f t="shared" si="16"/>
        <v/>
      </c>
      <c r="F27" s="6"/>
      <c r="G27">
        <v>1092.3100589999999</v>
      </c>
      <c r="H27" s="9">
        <f t="shared" si="1"/>
        <v>1.8126538190197778E-3</v>
      </c>
      <c r="I27" s="10">
        <f t="shared" si="2"/>
        <v>1.8126538190197778E-3</v>
      </c>
      <c r="J27" s="6"/>
      <c r="K27">
        <v>243.529999</v>
      </c>
      <c r="L27" s="9">
        <f t="shared" si="3"/>
        <v>-3.0632743524956856E-2</v>
      </c>
      <c r="M27" s="10">
        <f t="shared" si="4"/>
        <v>-3.0632743524956856E-2</v>
      </c>
      <c r="N27" s="6"/>
      <c r="O27">
        <v>165.85000600000001</v>
      </c>
      <c r="P27" s="9">
        <f t="shared" si="6"/>
        <v>-1.2963575051061568E-2</v>
      </c>
      <c r="Q27" s="10">
        <f t="shared" si="5"/>
        <v>-1.2963575051061568E-2</v>
      </c>
      <c r="R27" s="6"/>
      <c r="S27">
        <v>6463.7299800000001</v>
      </c>
      <c r="T27" s="28">
        <f t="shared" si="7"/>
        <v>2.8667326848947454E-3</v>
      </c>
      <c r="V27" s="6"/>
      <c r="W27">
        <v>72.230002999999996</v>
      </c>
      <c r="X27" s="27">
        <f t="shared" si="8"/>
        <v>-6.1193476622173247E-2</v>
      </c>
      <c r="Y27" s="26">
        <f t="shared" si="9"/>
        <v>-6.1193476622173247E-2</v>
      </c>
      <c r="Z27" s="6"/>
      <c r="AA27">
        <v>582.330017</v>
      </c>
      <c r="AB27" s="27">
        <f t="shared" si="10"/>
        <v>-1.2707399213460679E-3</v>
      </c>
      <c r="AC27" s="26">
        <f t="shared" si="11"/>
        <v>-1.2707399213460679E-3</v>
      </c>
      <c r="AD27" s="6"/>
      <c r="AE27">
        <v>2083.7700199999999</v>
      </c>
      <c r="AF27" s="27">
        <f t="shared" si="12"/>
        <v>-1.9186369232819633E-2</v>
      </c>
      <c r="AG27" s="27">
        <f t="shared" si="13"/>
        <v>-1.9186369232819633E-2</v>
      </c>
      <c r="AH27" s="6"/>
      <c r="AI27">
        <v>42.568500999999998</v>
      </c>
      <c r="AJ27" s="27">
        <f t="shared" si="14"/>
        <v>-2.1661580237462386E-2</v>
      </c>
      <c r="AK27" s="27">
        <f t="shared" si="15"/>
        <v>-2.1661580237462386E-2</v>
      </c>
    </row>
    <row r="28" spans="1:37" ht="14.5" x14ac:dyDescent="0.35">
      <c r="A28" s="1">
        <v>44676</v>
      </c>
      <c r="B28" t="s">
        <v>42</v>
      </c>
      <c r="D28" s="12">
        <f t="shared" si="0"/>
        <v>-1</v>
      </c>
      <c r="E28" s="13" t="str">
        <f t="shared" si="16"/>
        <v/>
      </c>
      <c r="F28" s="6"/>
      <c r="G28">
        <v>1094.290039</v>
      </c>
      <c r="H28" s="9">
        <f t="shared" si="1"/>
        <v>-2.5496339183984649E-3</v>
      </c>
      <c r="I28" s="10">
        <f t="shared" si="2"/>
        <v>-2.5496339183984649E-3</v>
      </c>
      <c r="J28" s="6"/>
      <c r="K28">
        <v>236.070007</v>
      </c>
      <c r="L28" s="9">
        <f t="shared" si="3"/>
        <v>1.9485406293057793E-3</v>
      </c>
      <c r="M28" s="10">
        <f t="shared" si="4"/>
        <v>1.9485406293057793E-3</v>
      </c>
      <c r="N28" s="6"/>
      <c r="O28">
        <v>163.699997</v>
      </c>
      <c r="P28" s="9">
        <f t="shared" si="6"/>
        <v>-1.5332895821616928E-2</v>
      </c>
      <c r="Q28" s="10">
        <f t="shared" si="5"/>
        <v>-1.5332895821616928E-2</v>
      </c>
      <c r="R28" s="6"/>
      <c r="S28">
        <v>6482.2597660000001</v>
      </c>
      <c r="T28" s="28">
        <f t="shared" si="7"/>
        <v>1.0371455391625808E-2</v>
      </c>
      <c r="V28" s="6"/>
      <c r="W28">
        <v>67.809997999999993</v>
      </c>
      <c r="X28" s="27">
        <f t="shared" si="8"/>
        <v>-1.0470432398478965E-2</v>
      </c>
      <c r="Y28" s="26">
        <f t="shared" si="9"/>
        <v>-1.0470432398478965E-2</v>
      </c>
      <c r="Z28" s="6"/>
      <c r="AA28">
        <v>581.59002699999996</v>
      </c>
      <c r="AB28" s="27">
        <f t="shared" si="10"/>
        <v>-3.8068078839322929E-2</v>
      </c>
      <c r="AC28" s="26">
        <f t="shared" si="11"/>
        <v>-3.8068078839322929E-2</v>
      </c>
      <c r="AD28" s="6"/>
      <c r="AE28">
        <v>2043.790039</v>
      </c>
      <c r="AF28" s="27">
        <f t="shared" si="12"/>
        <v>2.067237788313734E-2</v>
      </c>
      <c r="AG28" s="27">
        <f t="shared" si="13"/>
        <v>2.067237788313734E-2</v>
      </c>
      <c r="AH28" s="6"/>
      <c r="AI28">
        <v>41.6464</v>
      </c>
      <c r="AJ28" s="27">
        <f t="shared" si="14"/>
        <v>-2.3809981174843401E-2</v>
      </c>
      <c r="AK28" s="27">
        <f t="shared" si="15"/>
        <v>-2.3809981174843401E-2</v>
      </c>
    </row>
    <row r="29" spans="1:37" ht="14.5" x14ac:dyDescent="0.35">
      <c r="A29" s="1">
        <v>44677</v>
      </c>
      <c r="B29">
        <v>53.489497999999998</v>
      </c>
      <c r="D29" s="12">
        <f t="shared" si="0"/>
        <v>-7.4220176827895565E-6</v>
      </c>
      <c r="E29" s="13">
        <f t="shared" si="16"/>
        <v>-7.4220176827895565E-6</v>
      </c>
      <c r="F29" s="6"/>
      <c r="G29">
        <v>1091.5</v>
      </c>
      <c r="H29" s="9">
        <f t="shared" si="1"/>
        <v>-2.766852954649502E-3</v>
      </c>
      <c r="I29" s="10">
        <f t="shared" si="2"/>
        <v>-2.766852954649502E-3</v>
      </c>
      <c r="J29" s="6"/>
      <c r="K29">
        <v>236.529999</v>
      </c>
      <c r="L29" s="9">
        <f t="shared" si="3"/>
        <v>-3.0059616243434773E-2</v>
      </c>
      <c r="M29" s="10">
        <f t="shared" si="4"/>
        <v>-3.0059616243434773E-2</v>
      </c>
      <c r="N29" s="6"/>
      <c r="O29">
        <v>161.19000199999999</v>
      </c>
      <c r="P29" s="9">
        <f t="shared" si="6"/>
        <v>-5.8936471754618891E-3</v>
      </c>
      <c r="Q29" s="10">
        <f t="shared" si="5"/>
        <v>-5.8936471754618891E-3</v>
      </c>
      <c r="R29" s="6"/>
      <c r="S29">
        <v>6549.4902339999999</v>
      </c>
      <c r="T29" s="28">
        <f t="shared" si="7"/>
        <v>-3.5243976210805654E-2</v>
      </c>
      <c r="V29" s="6"/>
      <c r="W29">
        <v>67.099997999999999</v>
      </c>
      <c r="X29" s="27">
        <f t="shared" si="8"/>
        <v>-1.7734635401926518E-2</v>
      </c>
      <c r="Y29" s="26">
        <f t="shared" si="9"/>
        <v>-1.7734635401926518E-2</v>
      </c>
      <c r="Z29" s="6"/>
      <c r="AA29">
        <v>559.45001200000002</v>
      </c>
      <c r="AB29" s="27">
        <f t="shared" si="10"/>
        <v>-1</v>
      </c>
      <c r="AC29" s="26" t="str">
        <f t="shared" si="11"/>
        <v/>
      </c>
      <c r="AD29" s="6"/>
      <c r="AE29">
        <v>2086.040039</v>
      </c>
      <c r="AF29" s="27">
        <f t="shared" si="12"/>
        <v>-3.3077025708996947E-2</v>
      </c>
      <c r="AG29" s="27">
        <f t="shared" si="13"/>
        <v>-3.3077025708996947E-2</v>
      </c>
      <c r="AH29" s="6"/>
      <c r="AI29">
        <v>40.654800000000002</v>
      </c>
      <c r="AJ29" s="27">
        <f t="shared" si="14"/>
        <v>1.8246283341696437E-2</v>
      </c>
      <c r="AK29" s="27">
        <f t="shared" si="15"/>
        <v>1.8246283341696437E-2</v>
      </c>
    </row>
    <row r="30" spans="1:37" ht="14.5" x14ac:dyDescent="0.35">
      <c r="A30" s="1">
        <v>44678</v>
      </c>
      <c r="B30">
        <v>53.489100999999998</v>
      </c>
      <c r="D30" s="12">
        <f t="shared" si="0"/>
        <v>-7.4781589617493814E-6</v>
      </c>
      <c r="E30" s="13">
        <f t="shared" si="16"/>
        <v>-7.4781589617493814E-6</v>
      </c>
      <c r="F30" s="6"/>
      <c r="G30">
        <v>1088.4799800000001</v>
      </c>
      <c r="H30" s="9">
        <f t="shared" si="1"/>
        <v>-4.4741245493555301E-3</v>
      </c>
      <c r="I30" s="10">
        <f t="shared" si="2"/>
        <v>-4.4741245493555301E-3</v>
      </c>
      <c r="J30" s="6"/>
      <c r="K30">
        <v>229.41999799999999</v>
      </c>
      <c r="L30" s="9">
        <f t="shared" si="3"/>
        <v>3.2691134449404015E-3</v>
      </c>
      <c r="M30" s="10">
        <f t="shared" si="4"/>
        <v>3.2691134449404015E-3</v>
      </c>
      <c r="N30" s="6"/>
      <c r="O30">
        <v>160.240005</v>
      </c>
      <c r="P30" s="9">
        <f t="shared" si="6"/>
        <v>-6.2462554216698914E-5</v>
      </c>
      <c r="Q30" s="10">
        <f t="shared" si="5"/>
        <v>-6.2462554216698914E-5</v>
      </c>
      <c r="R30" s="6"/>
      <c r="S30">
        <v>6318.6601559999999</v>
      </c>
      <c r="T30" s="28">
        <f t="shared" si="7"/>
        <v>-1.7647768869815415E-2</v>
      </c>
      <c r="V30" s="6"/>
      <c r="W30">
        <v>65.910004000000001</v>
      </c>
      <c r="X30" s="27">
        <f t="shared" si="8"/>
        <v>-2.0330813513529864E-2</v>
      </c>
      <c r="Y30" s="26">
        <f t="shared" si="9"/>
        <v>-2.0330813513529864E-2</v>
      </c>
      <c r="Z30" s="6"/>
      <c r="AA30" t="s">
        <v>42</v>
      </c>
      <c r="AB30" s="27">
        <f t="shared" si="10"/>
        <v>-1</v>
      </c>
      <c r="AC30" s="26" t="str">
        <f t="shared" si="11"/>
        <v/>
      </c>
      <c r="AD30" s="6"/>
      <c r="AE30">
        <v>2017.040039</v>
      </c>
      <c r="AF30" s="27">
        <f t="shared" si="12"/>
        <v>1.4298162377727597E-2</v>
      </c>
      <c r="AG30" s="27">
        <f t="shared" si="13"/>
        <v>1.4298162377727597E-2</v>
      </c>
      <c r="AH30" s="6"/>
      <c r="AI30">
        <v>41.396599000000002</v>
      </c>
      <c r="AJ30" s="27">
        <f t="shared" si="14"/>
        <v>-3.266930213276701E-2</v>
      </c>
      <c r="AK30" s="27">
        <f t="shared" si="15"/>
        <v>-3.266930213276701E-2</v>
      </c>
    </row>
    <row r="31" spans="1:37" ht="14.5" x14ac:dyDescent="0.35">
      <c r="A31" s="1">
        <v>44679</v>
      </c>
      <c r="B31">
        <v>53.488700999999999</v>
      </c>
      <c r="D31" s="12">
        <f t="shared" si="0"/>
        <v>-9.347768606352721E-6</v>
      </c>
      <c r="E31" s="13">
        <f t="shared" si="16"/>
        <v>-9.347768606352721E-6</v>
      </c>
      <c r="F31" s="6"/>
      <c r="G31">
        <v>1083.6099850000001</v>
      </c>
      <c r="H31" s="9">
        <f t="shared" si="1"/>
        <v>9.2284125639539947E-4</v>
      </c>
      <c r="I31" s="10">
        <f t="shared" si="2"/>
        <v>9.2284125639539947E-4</v>
      </c>
      <c r="J31" s="6"/>
      <c r="K31">
        <v>230.16999799999999</v>
      </c>
      <c r="L31" s="9">
        <f t="shared" si="3"/>
        <v>3.0672972417543347E-2</v>
      </c>
      <c r="M31" s="10">
        <f t="shared" si="4"/>
        <v>3.0672972417543347E-2</v>
      </c>
      <c r="N31" s="6"/>
      <c r="O31">
        <v>160.229996</v>
      </c>
      <c r="P31" s="9">
        <f t="shared" si="6"/>
        <v>2.8084441816998871E-3</v>
      </c>
      <c r="Q31" s="10">
        <f t="shared" si="5"/>
        <v>2.8084441816998871E-3</v>
      </c>
      <c r="R31" s="6"/>
      <c r="S31">
        <v>6207.1499020000001</v>
      </c>
      <c r="T31" s="28">
        <f t="shared" si="7"/>
        <v>-8.9622262839303638E-3</v>
      </c>
      <c r="V31" s="6"/>
      <c r="W31">
        <v>64.569999999999993</v>
      </c>
      <c r="X31" s="27">
        <f t="shared" si="8"/>
        <v>3.2987409013473801E-2</v>
      </c>
      <c r="Y31" s="26">
        <f t="shared" si="9"/>
        <v>3.2987409013473801E-2</v>
      </c>
      <c r="Z31" s="6"/>
      <c r="AA31">
        <v>540.46997099999999</v>
      </c>
      <c r="AB31" s="27">
        <f t="shared" si="10"/>
        <v>-4.9955615387925817E-3</v>
      </c>
      <c r="AC31" s="26">
        <f t="shared" si="11"/>
        <v>-4.9955615387925817E-3</v>
      </c>
      <c r="AD31" s="6"/>
      <c r="AE31">
        <v>2045.880005</v>
      </c>
      <c r="AF31" s="27">
        <f t="shared" si="12"/>
        <v>3.4063612152072431E-2</v>
      </c>
      <c r="AG31" s="27">
        <f t="shared" si="13"/>
        <v>3.4063612152072431E-2</v>
      </c>
      <c r="AH31" s="6"/>
      <c r="AI31">
        <v>40.044201000000001</v>
      </c>
      <c r="AJ31" s="27">
        <f t="shared" si="14"/>
        <v>-3.1215506085387995E-3</v>
      </c>
      <c r="AK31" s="27">
        <f t="shared" si="15"/>
        <v>-3.1215506085387995E-3</v>
      </c>
    </row>
    <row r="32" spans="1:37" ht="14.5" x14ac:dyDescent="0.35">
      <c r="A32" s="1">
        <v>44680</v>
      </c>
      <c r="B32">
        <v>53.488200999999997</v>
      </c>
      <c r="D32" s="12">
        <f t="shared" si="0"/>
        <v>-1</v>
      </c>
      <c r="E32" s="13" t="str">
        <f t="shared" si="16"/>
        <v/>
      </c>
      <c r="F32" s="6"/>
      <c r="G32">
        <v>1084.6099850000001</v>
      </c>
      <c r="H32" s="9">
        <f t="shared" si="1"/>
        <v>-2.7475129689130315E-3</v>
      </c>
      <c r="I32" s="10">
        <f t="shared" si="2"/>
        <v>-2.7475129689130315E-3</v>
      </c>
      <c r="J32" s="6"/>
      <c r="K32">
        <v>237.229996</v>
      </c>
      <c r="L32" s="9">
        <f t="shared" si="3"/>
        <v>-2.7736804413215972E-2</v>
      </c>
      <c r="M32" s="10">
        <f t="shared" si="4"/>
        <v>-2.7736804413215972E-2</v>
      </c>
      <c r="N32" s="6"/>
      <c r="O32">
        <v>160.679993</v>
      </c>
      <c r="P32" s="9">
        <f t="shared" si="6"/>
        <v>-9.459727820625494E-3</v>
      </c>
      <c r="Q32" s="10">
        <f t="shared" si="5"/>
        <v>-9.459727820625494E-3</v>
      </c>
      <c r="R32" s="6"/>
      <c r="S32">
        <v>6151.5200199999999</v>
      </c>
      <c r="T32" s="28">
        <f t="shared" si="7"/>
        <v>3.5080887211352938E-3</v>
      </c>
      <c r="V32" s="6"/>
      <c r="W32">
        <v>66.699996999999996</v>
      </c>
      <c r="X32" s="27">
        <f t="shared" si="8"/>
        <v>1.0344858036500466E-2</v>
      </c>
      <c r="Y32" s="26">
        <f t="shared" si="9"/>
        <v>1.0344858036500466E-2</v>
      </c>
      <c r="Z32" s="6"/>
      <c r="AA32">
        <v>537.77002000000005</v>
      </c>
      <c r="AB32" s="27">
        <f t="shared" si="10"/>
        <v>-5.0765976132325589E-3</v>
      </c>
      <c r="AC32" s="26">
        <f t="shared" si="11"/>
        <v>-5.0765976132325589E-3</v>
      </c>
      <c r="AD32" s="6"/>
      <c r="AE32">
        <v>2115.570068</v>
      </c>
      <c r="AF32" s="27">
        <f t="shared" si="12"/>
        <v>-3.812212378115383E-2</v>
      </c>
      <c r="AG32" s="27">
        <f t="shared" si="13"/>
        <v>-3.812212378115383E-2</v>
      </c>
      <c r="AH32" s="6"/>
      <c r="AI32">
        <v>39.919201000000001</v>
      </c>
      <c r="AJ32" s="27">
        <f t="shared" si="14"/>
        <v>3.7337846516517142E-2</v>
      </c>
      <c r="AK32" s="27">
        <f t="shared" si="15"/>
        <v>3.7337846516517142E-2</v>
      </c>
    </row>
    <row r="33" spans="1:37" ht="14.5" x14ac:dyDescent="0.35">
      <c r="A33" s="1">
        <v>44683</v>
      </c>
      <c r="B33" t="s">
        <v>42</v>
      </c>
      <c r="D33" s="12">
        <f t="shared" si="0"/>
        <v>-1</v>
      </c>
      <c r="E33" s="13" t="str">
        <f t="shared" si="16"/>
        <v/>
      </c>
      <c r="F33" s="6"/>
      <c r="G33">
        <v>1081.630005</v>
      </c>
      <c r="H33" s="9">
        <f t="shared" si="1"/>
        <v>3.328171355601877E-4</v>
      </c>
      <c r="I33" s="10">
        <f t="shared" si="2"/>
        <v>3.328171355601877E-4</v>
      </c>
      <c r="J33" s="6"/>
      <c r="K33">
        <v>230.64999399999999</v>
      </c>
      <c r="L33" s="9">
        <f t="shared" si="3"/>
        <v>6.0697595335735112E-4</v>
      </c>
      <c r="M33" s="10">
        <f t="shared" si="4"/>
        <v>6.0697595335735112E-4</v>
      </c>
      <c r="N33" s="6"/>
      <c r="O33">
        <v>159.16000399999999</v>
      </c>
      <c r="P33" s="9">
        <f t="shared" si="6"/>
        <v>-1.2503178876522233E-2</v>
      </c>
      <c r="Q33" s="10">
        <f t="shared" si="5"/>
        <v>-1.2503178876522233E-2</v>
      </c>
      <c r="R33" s="6"/>
      <c r="S33">
        <v>6173.1000979999999</v>
      </c>
      <c r="T33" s="28">
        <f t="shared" si="7"/>
        <v>-6.8701554043713899E-3</v>
      </c>
      <c r="V33" s="6"/>
      <c r="W33">
        <v>67.389999000000003</v>
      </c>
      <c r="X33" s="27">
        <f t="shared" si="8"/>
        <v>-3.1161745528442025E-3</v>
      </c>
      <c r="Y33" s="26">
        <f t="shared" si="9"/>
        <v>-3.1161745528442025E-3</v>
      </c>
      <c r="Z33" s="6"/>
      <c r="AA33">
        <v>535.03997800000002</v>
      </c>
      <c r="AB33" s="27">
        <f t="shared" si="10"/>
        <v>3.7156111351365192E-2</v>
      </c>
      <c r="AC33" s="26">
        <f t="shared" si="11"/>
        <v>3.7156111351365192E-2</v>
      </c>
      <c r="AD33" s="6"/>
      <c r="AE33">
        <v>2034.920044</v>
      </c>
      <c r="AF33" s="27">
        <f t="shared" si="12"/>
        <v>1.6442827372336849E-2</v>
      </c>
      <c r="AG33" s="27">
        <f t="shared" si="13"/>
        <v>1.6442827372336849E-2</v>
      </c>
      <c r="AH33" s="6"/>
      <c r="AI33">
        <v>41.409697999999999</v>
      </c>
      <c r="AJ33" s="27">
        <f t="shared" si="14"/>
        <v>-3.556408452918447E-2</v>
      </c>
      <c r="AK33" s="27">
        <f t="shared" si="15"/>
        <v>-3.556408452918447E-2</v>
      </c>
    </row>
    <row r="34" spans="1:37" ht="14.5" x14ac:dyDescent="0.35">
      <c r="A34" s="1">
        <v>44684</v>
      </c>
      <c r="B34">
        <v>53.485802</v>
      </c>
      <c r="D34" s="12">
        <f t="shared" si="0"/>
        <v>-1.1274019972592593E-5</v>
      </c>
      <c r="E34" s="13">
        <f t="shared" si="16"/>
        <v>-1.1274019972592593E-5</v>
      </c>
      <c r="F34" s="6"/>
      <c r="G34">
        <v>1081.98999</v>
      </c>
      <c r="H34" s="9">
        <f t="shared" si="1"/>
        <v>-1.43259088746278E-3</v>
      </c>
      <c r="I34" s="10">
        <f t="shared" si="2"/>
        <v>-1.43259088746278E-3</v>
      </c>
      <c r="J34" s="6"/>
      <c r="K34">
        <v>230.78999300000001</v>
      </c>
      <c r="L34" s="9">
        <f t="shared" si="3"/>
        <v>-4.1595867633654384E-3</v>
      </c>
      <c r="M34" s="10">
        <f t="shared" si="4"/>
        <v>-4.1595867633654384E-3</v>
      </c>
      <c r="N34" s="6"/>
      <c r="O34">
        <v>157.16999799999999</v>
      </c>
      <c r="P34" s="9">
        <f t="shared" si="6"/>
        <v>-7.1896991434712808E-3</v>
      </c>
      <c r="Q34" s="10">
        <f t="shared" si="5"/>
        <v>-7.1896991434712808E-3</v>
      </c>
      <c r="R34" s="6"/>
      <c r="S34">
        <v>6130.6899409999996</v>
      </c>
      <c r="T34" s="28">
        <f t="shared" si="7"/>
        <v>1.94872381656465E-2</v>
      </c>
      <c r="V34" s="6"/>
      <c r="W34">
        <v>67.180000000000007</v>
      </c>
      <c r="X34" s="27">
        <f t="shared" si="8"/>
        <v>6.102947305745645E-3</v>
      </c>
      <c r="Y34" s="26">
        <f t="shared" si="9"/>
        <v>6.102947305745645E-3</v>
      </c>
      <c r="Z34" s="6"/>
      <c r="AA34">
        <v>554.919983</v>
      </c>
      <c r="AB34" s="27">
        <f t="shared" si="10"/>
        <v>-1</v>
      </c>
      <c r="AC34" s="26" t="str">
        <f t="shared" si="11"/>
        <v/>
      </c>
      <c r="AD34" s="6"/>
      <c r="AE34">
        <v>2068.3798830000001</v>
      </c>
      <c r="AF34" s="27">
        <f t="shared" si="12"/>
        <v>-3.0651255371932488E-3</v>
      </c>
      <c r="AG34" s="27">
        <f t="shared" si="13"/>
        <v>-3.0651255371932488E-3</v>
      </c>
      <c r="AH34" s="6"/>
      <c r="AI34">
        <v>39.936999999999998</v>
      </c>
      <c r="AJ34" s="27">
        <f t="shared" si="14"/>
        <v>1.9533214813331059E-2</v>
      </c>
      <c r="AK34" s="27">
        <f t="shared" si="15"/>
        <v>1.9533214813331059E-2</v>
      </c>
    </row>
    <row r="35" spans="1:37" ht="14.5" x14ac:dyDescent="0.35">
      <c r="A35" s="1">
        <v>44685</v>
      </c>
      <c r="B35">
        <v>53.485199000000001</v>
      </c>
      <c r="D35" s="12">
        <f t="shared" si="0"/>
        <v>-1.3050339403240612E-5</v>
      </c>
      <c r="E35" s="13">
        <f t="shared" si="16"/>
        <v>-1.3050339403240612E-5</v>
      </c>
      <c r="F35" s="6"/>
      <c r="G35">
        <v>1080.4399410000001</v>
      </c>
      <c r="H35" s="9">
        <f t="shared" si="1"/>
        <v>-3.1190951686596497E-3</v>
      </c>
      <c r="I35" s="10">
        <f t="shared" si="2"/>
        <v>-3.1190951686596497E-3</v>
      </c>
      <c r="J35" s="6"/>
      <c r="K35">
        <v>229.83000200000001</v>
      </c>
      <c r="L35" s="9">
        <f t="shared" si="3"/>
        <v>2.1537645028606823E-2</v>
      </c>
      <c r="M35" s="10">
        <f t="shared" si="4"/>
        <v>2.1537645028606823E-2</v>
      </c>
      <c r="N35" s="6"/>
      <c r="O35">
        <v>156.03999300000001</v>
      </c>
      <c r="P35" s="9">
        <f t="shared" si="6"/>
        <v>-1.7559536804132039E-2</v>
      </c>
      <c r="Q35" s="10">
        <f t="shared" si="5"/>
        <v>-1.7559536804132039E-2</v>
      </c>
      <c r="R35" s="6"/>
      <c r="S35">
        <v>6250.1601559999999</v>
      </c>
      <c r="T35" s="28">
        <f t="shared" si="7"/>
        <v>1.0482934575220816E-2</v>
      </c>
      <c r="V35" s="6"/>
      <c r="W35">
        <v>67.589995999999999</v>
      </c>
      <c r="X35" s="27">
        <f t="shared" si="8"/>
        <v>3.6248041796007865E-2</v>
      </c>
      <c r="Y35" s="26">
        <f t="shared" si="9"/>
        <v>3.6248041796007865E-2</v>
      </c>
      <c r="Z35" s="6"/>
      <c r="AA35" t="s">
        <v>42</v>
      </c>
      <c r="AB35" s="27">
        <f t="shared" si="10"/>
        <v>-1</v>
      </c>
      <c r="AC35" s="26" t="str">
        <f t="shared" si="11"/>
        <v/>
      </c>
      <c r="AD35" s="6"/>
      <c r="AE35">
        <v>2062.040039</v>
      </c>
      <c r="AF35" s="27">
        <f t="shared" si="12"/>
        <v>2.5557190938715838E-2</v>
      </c>
      <c r="AG35" s="27">
        <f t="shared" si="13"/>
        <v>2.5557190938715838E-2</v>
      </c>
      <c r="AH35" s="6"/>
      <c r="AI35">
        <v>40.717098</v>
      </c>
      <c r="AJ35" s="27">
        <f t="shared" si="14"/>
        <v>7.0266058745148564E-3</v>
      </c>
      <c r="AK35" s="27">
        <f t="shared" si="15"/>
        <v>7.0266058745148564E-3</v>
      </c>
    </row>
    <row r="36" spans="1:37" ht="14.5" x14ac:dyDescent="0.35">
      <c r="A36" s="1">
        <v>44686</v>
      </c>
      <c r="B36">
        <v>53.484501000000002</v>
      </c>
      <c r="D36" s="12">
        <f t="shared" si="0"/>
        <v>-9.3485026625262413E-6</v>
      </c>
      <c r="E36" s="13">
        <f t="shared" si="16"/>
        <v>-9.3485026625262413E-6</v>
      </c>
      <c r="F36" s="6"/>
      <c r="G36">
        <v>1077.0699460000001</v>
      </c>
      <c r="H36" s="9">
        <f t="shared" si="1"/>
        <v>6.6856660765085183E-4</v>
      </c>
      <c r="I36" s="10">
        <f t="shared" si="2"/>
        <v>6.6856660765085183E-4</v>
      </c>
      <c r="J36" s="6"/>
      <c r="K36">
        <v>234.779999</v>
      </c>
      <c r="L36" s="9">
        <f t="shared" si="3"/>
        <v>-3.6417084233823525E-2</v>
      </c>
      <c r="M36" s="10">
        <f t="shared" si="4"/>
        <v>-3.6417084233823525E-2</v>
      </c>
      <c r="N36" s="6"/>
      <c r="O36">
        <v>153.300003</v>
      </c>
      <c r="P36" s="9">
        <f t="shared" si="6"/>
        <v>-3.7182451979469559E-3</v>
      </c>
      <c r="Q36" s="10">
        <f t="shared" si="5"/>
        <v>-3.7182451979469559E-3</v>
      </c>
      <c r="R36" s="6"/>
      <c r="S36">
        <v>6315.6801759999998</v>
      </c>
      <c r="T36" s="28">
        <f t="shared" si="7"/>
        <v>1.0079621865893585E-2</v>
      </c>
      <c r="V36" s="6"/>
      <c r="W36">
        <v>70.040001000000004</v>
      </c>
      <c r="X36" s="27">
        <f t="shared" si="8"/>
        <v>4.5259822312109795E-2</v>
      </c>
      <c r="Y36" s="26">
        <f t="shared" si="9"/>
        <v>4.5259822312109795E-2</v>
      </c>
      <c r="Z36" s="6"/>
      <c r="AA36">
        <v>541.04998799999998</v>
      </c>
      <c r="AB36" s="27">
        <f t="shared" si="10"/>
        <v>-2.2770554058306403E-2</v>
      </c>
      <c r="AC36" s="26">
        <f t="shared" si="11"/>
        <v>-2.2770554058306403E-2</v>
      </c>
      <c r="AD36" s="6"/>
      <c r="AE36">
        <v>2114.73999</v>
      </c>
      <c r="AF36" s="27">
        <f t="shared" si="12"/>
        <v>-4.3281930371024013E-2</v>
      </c>
      <c r="AG36" s="27">
        <f t="shared" si="13"/>
        <v>-4.3281930371024013E-2</v>
      </c>
      <c r="AH36" s="6"/>
      <c r="AI36">
        <v>41.003200999999997</v>
      </c>
      <c r="AJ36" s="27">
        <f t="shared" si="14"/>
        <v>3.2755906057188082E-2</v>
      </c>
      <c r="AK36" s="27">
        <f t="shared" si="15"/>
        <v>3.2755906057188082E-2</v>
      </c>
    </row>
    <row r="37" spans="1:37" ht="14.5" x14ac:dyDescent="0.35">
      <c r="A37" s="1">
        <v>44687</v>
      </c>
      <c r="B37">
        <v>53.484000999999999</v>
      </c>
      <c r="D37" s="12">
        <f t="shared" si="0"/>
        <v>-1</v>
      </c>
      <c r="E37" s="13" t="str">
        <f t="shared" si="16"/>
        <v/>
      </c>
      <c r="F37" s="6"/>
      <c r="G37">
        <v>1077.790039</v>
      </c>
      <c r="H37" s="9">
        <f t="shared" si="1"/>
        <v>-1.2618273975345689E-3</v>
      </c>
      <c r="I37" s="10">
        <f t="shared" si="2"/>
        <v>-1.2618273975345689E-3</v>
      </c>
      <c r="J37" s="6"/>
      <c r="K37">
        <v>226.229996</v>
      </c>
      <c r="L37" s="9">
        <f t="shared" si="3"/>
        <v>-1.2862967119532619E-2</v>
      </c>
      <c r="M37" s="10">
        <f t="shared" si="4"/>
        <v>-1.2862967119532619E-2</v>
      </c>
      <c r="N37" s="6"/>
      <c r="O37">
        <v>152.729996</v>
      </c>
      <c r="P37" s="9">
        <f t="shared" si="6"/>
        <v>-2.9856597390338486E-2</v>
      </c>
      <c r="Q37" s="10">
        <f t="shared" si="5"/>
        <v>-2.9856597390338486E-2</v>
      </c>
      <c r="R37" s="6"/>
      <c r="S37">
        <v>6379.3398440000001</v>
      </c>
      <c r="T37" s="28">
        <f t="shared" si="7"/>
        <v>9.5558415903072812E-3</v>
      </c>
      <c r="V37" s="6"/>
      <c r="W37">
        <v>73.209998999999996</v>
      </c>
      <c r="X37" s="27">
        <f t="shared" si="8"/>
        <v>-3.0596886089289524E-2</v>
      </c>
      <c r="Y37" s="26">
        <f t="shared" si="9"/>
        <v>-3.0596886089289524E-2</v>
      </c>
      <c r="Z37" s="6"/>
      <c r="AA37">
        <v>528.72997999999995</v>
      </c>
      <c r="AB37" s="27">
        <f t="shared" si="10"/>
        <v>1.7986515536720805E-2</v>
      </c>
      <c r="AC37" s="26">
        <f t="shared" si="11"/>
        <v>1.7986515536720805E-2</v>
      </c>
      <c r="AD37" s="6"/>
      <c r="AE37">
        <v>2023.209961</v>
      </c>
      <c r="AF37" s="27">
        <f t="shared" si="12"/>
        <v>-2.156969164902206E-2</v>
      </c>
      <c r="AG37" s="27">
        <f t="shared" si="13"/>
        <v>-2.156969164902206E-2</v>
      </c>
      <c r="AH37" s="6"/>
      <c r="AI37">
        <v>42.346297999999997</v>
      </c>
      <c r="AJ37" s="27">
        <f t="shared" si="14"/>
        <v>-4.5375796486389321E-2</v>
      </c>
      <c r="AK37" s="27">
        <f t="shared" si="15"/>
        <v>-4.5375796486389321E-2</v>
      </c>
    </row>
    <row r="38" spans="1:37" ht="14.5" x14ac:dyDescent="0.35">
      <c r="A38" s="1">
        <v>44690</v>
      </c>
      <c r="B38" t="s">
        <v>42</v>
      </c>
      <c r="D38" s="12">
        <f t="shared" si="0"/>
        <v>-1</v>
      </c>
      <c r="E38" s="13" t="str">
        <f t="shared" si="16"/>
        <v/>
      </c>
      <c r="F38" s="6"/>
      <c r="G38">
        <v>1076.4300539999999</v>
      </c>
      <c r="H38" s="9">
        <f t="shared" si="1"/>
        <v>-1</v>
      </c>
      <c r="I38" s="10" t="str">
        <f t="shared" si="2"/>
        <v/>
      </c>
      <c r="J38" s="6"/>
      <c r="K38">
        <v>223.320007</v>
      </c>
      <c r="L38" s="9">
        <f t="shared" si="3"/>
        <v>-1</v>
      </c>
      <c r="M38" s="10" t="str">
        <f t="shared" si="4"/>
        <v/>
      </c>
      <c r="N38" s="6"/>
      <c r="O38">
        <v>148.16999799999999</v>
      </c>
      <c r="P38" s="9">
        <f t="shared" si="6"/>
        <v>-3.846930604669372E-2</v>
      </c>
      <c r="Q38" s="10">
        <f t="shared" si="5"/>
        <v>-3.846930604669372E-2</v>
      </c>
      <c r="R38" s="6"/>
      <c r="S38">
        <v>6440.2998049999997</v>
      </c>
      <c r="T38" s="28">
        <f t="shared" si="7"/>
        <v>-2.4938258910758897E-2</v>
      </c>
      <c r="V38" s="6"/>
      <c r="W38">
        <v>70.970000999999996</v>
      </c>
      <c r="X38" s="27">
        <f t="shared" si="8"/>
        <v>-4.0439664077220418E-2</v>
      </c>
      <c r="Y38" s="26">
        <f t="shared" si="9"/>
        <v>-4.0439664077220418E-2</v>
      </c>
      <c r="Z38" s="6"/>
      <c r="AA38">
        <v>538.23999000000003</v>
      </c>
      <c r="AB38" s="27">
        <f t="shared" si="10"/>
        <v>-6.4729482474908714E-2</v>
      </c>
      <c r="AC38" s="26">
        <f t="shared" si="11"/>
        <v>-6.4729482474908714E-2</v>
      </c>
      <c r="AD38" s="6"/>
      <c r="AE38">
        <v>1979.5699460000001</v>
      </c>
      <c r="AF38" s="27">
        <f t="shared" si="12"/>
        <v>-1</v>
      </c>
      <c r="AG38" s="27" t="str">
        <f t="shared" si="13"/>
        <v/>
      </c>
      <c r="AH38" s="6"/>
      <c r="AI38">
        <v>40.424801000000002</v>
      </c>
      <c r="AJ38" s="27">
        <f t="shared" si="14"/>
        <v>-1.5270378201738141E-2</v>
      </c>
      <c r="AK38" s="27">
        <f t="shared" si="15"/>
        <v>-1.5270378201738141E-2</v>
      </c>
    </row>
    <row r="39" spans="1:37" ht="14.5" x14ac:dyDescent="0.35">
      <c r="A39" s="1">
        <v>44691</v>
      </c>
      <c r="B39">
        <v>53.481701000000001</v>
      </c>
      <c r="D39" s="12">
        <f t="shared" si="0"/>
        <v>-1.4977085339950504E-5</v>
      </c>
      <c r="E39" s="13">
        <f t="shared" si="16"/>
        <v>-1.4977085339950504E-5</v>
      </c>
      <c r="F39" s="6"/>
      <c r="G39" t="s">
        <v>42</v>
      </c>
      <c r="H39" s="9">
        <f t="shared" si="1"/>
        <v>-1</v>
      </c>
      <c r="I39" s="10" t="str">
        <f t="shared" si="2"/>
        <v/>
      </c>
      <c r="J39" s="6"/>
      <c r="K39" t="s">
        <v>42</v>
      </c>
      <c r="L39" s="9">
        <f t="shared" si="3"/>
        <v>-1</v>
      </c>
      <c r="M39" s="10" t="str">
        <f t="shared" si="4"/>
        <v/>
      </c>
      <c r="N39" s="6"/>
      <c r="O39">
        <v>142.470001</v>
      </c>
      <c r="P39" s="9">
        <f t="shared" si="6"/>
        <v>7.4401487510343135E-3</v>
      </c>
      <c r="Q39" s="10">
        <f t="shared" si="5"/>
        <v>7.4401487510343135E-3</v>
      </c>
      <c r="R39" s="6"/>
      <c r="S39">
        <v>6279.6899409999996</v>
      </c>
      <c r="T39" s="28">
        <f t="shared" si="7"/>
        <v>4.1037089796022996E-3</v>
      </c>
      <c r="V39" s="6"/>
      <c r="W39">
        <v>68.099997999999999</v>
      </c>
      <c r="X39" s="27">
        <f t="shared" si="8"/>
        <v>-1</v>
      </c>
      <c r="Y39" s="26" t="str">
        <f t="shared" si="9"/>
        <v/>
      </c>
      <c r="Z39" s="6"/>
      <c r="AA39">
        <v>503.39999399999999</v>
      </c>
      <c r="AB39" s="27">
        <f t="shared" si="10"/>
        <v>-1</v>
      </c>
      <c r="AC39" s="26" t="str">
        <f t="shared" si="11"/>
        <v/>
      </c>
      <c r="AD39" s="6"/>
      <c r="AE39" t="s">
        <v>42</v>
      </c>
      <c r="AF39" s="27">
        <f t="shared" si="12"/>
        <v>-1</v>
      </c>
      <c r="AG39" s="27" t="str">
        <f t="shared" si="13"/>
        <v/>
      </c>
      <c r="AH39" s="6"/>
      <c r="AI39">
        <v>39.807499</v>
      </c>
      <c r="AJ39" s="27">
        <f t="shared" si="14"/>
        <v>-1</v>
      </c>
      <c r="AK39" s="27" t="str">
        <f t="shared" si="15"/>
        <v/>
      </c>
    </row>
    <row r="40" spans="1:37" ht="14.5" x14ac:dyDescent="0.35">
      <c r="A40" s="1">
        <v>44692</v>
      </c>
      <c r="B40">
        <v>53.480899999999998</v>
      </c>
      <c r="D40" s="12">
        <f t="shared" si="0"/>
        <v>-1.8698264240087012E-5</v>
      </c>
      <c r="E40" s="13">
        <f t="shared" si="16"/>
        <v>-1.8698264240087012E-5</v>
      </c>
      <c r="F40" s="6"/>
      <c r="G40">
        <v>1071.2700199999999</v>
      </c>
      <c r="H40" s="9">
        <f t="shared" si="1"/>
        <v>-6.8237315182216249E-3</v>
      </c>
      <c r="I40" s="10">
        <f t="shared" si="2"/>
        <v>-6.8237315182216249E-3</v>
      </c>
      <c r="J40" s="6"/>
      <c r="K40">
        <v>216.509995</v>
      </c>
      <c r="L40" s="9">
        <f t="shared" si="3"/>
        <v>-1.3763780281829483E-2</v>
      </c>
      <c r="M40" s="10">
        <f t="shared" si="4"/>
        <v>-1.3763780281829483E-2</v>
      </c>
      <c r="N40" s="6"/>
      <c r="O40">
        <v>143.529999</v>
      </c>
      <c r="P40" s="9">
        <f t="shared" si="6"/>
        <v>2.8426127140152822E-2</v>
      </c>
      <c r="Q40" s="10">
        <f t="shared" si="5"/>
        <v>2.8426127140152822E-2</v>
      </c>
      <c r="R40" s="6"/>
      <c r="S40">
        <v>6305.4599609999996</v>
      </c>
      <c r="T40" s="28">
        <f t="shared" si="7"/>
        <v>7.2032686403414696E-3</v>
      </c>
      <c r="V40" s="6"/>
      <c r="W40" t="s">
        <v>42</v>
      </c>
      <c r="X40" s="27">
        <f t="shared" si="8"/>
        <v>-1</v>
      </c>
      <c r="Y40" s="26" t="str">
        <f t="shared" si="9"/>
        <v/>
      </c>
      <c r="Z40" s="6"/>
      <c r="AA40" t="s">
        <v>42</v>
      </c>
      <c r="AB40" s="27">
        <f t="shared" si="10"/>
        <v>-1</v>
      </c>
      <c r="AC40" s="26" t="str">
        <f t="shared" si="11"/>
        <v/>
      </c>
      <c r="AD40" s="6"/>
      <c r="AE40">
        <v>1900.0200199999999</v>
      </c>
      <c r="AF40" s="27">
        <f t="shared" si="12"/>
        <v>-3.149965546152507E-2</v>
      </c>
      <c r="AG40" s="27">
        <f t="shared" si="13"/>
        <v>-3.149965546152507E-2</v>
      </c>
      <c r="AH40" s="6"/>
      <c r="AI40" t="s">
        <v>42</v>
      </c>
      <c r="AJ40" s="27">
        <f t="shared" si="14"/>
        <v>-1</v>
      </c>
      <c r="AK40" s="27" t="str">
        <f t="shared" si="15"/>
        <v/>
      </c>
    </row>
    <row r="41" spans="1:37" ht="14.5" x14ac:dyDescent="0.35">
      <c r="A41" s="1">
        <v>44693</v>
      </c>
      <c r="B41">
        <v>53.479900000000001</v>
      </c>
      <c r="D41" s="12">
        <f t="shared" si="0"/>
        <v>-9.3306083219640794E-6</v>
      </c>
      <c r="E41" s="13">
        <f t="shared" si="16"/>
        <v>-9.3306083219640794E-6</v>
      </c>
      <c r="F41" s="6"/>
      <c r="G41">
        <v>1063.959961</v>
      </c>
      <c r="H41" s="9">
        <f t="shared" si="1"/>
        <v>-3.8252811658201795E-3</v>
      </c>
      <c r="I41" s="10">
        <f t="shared" si="2"/>
        <v>-3.8252811658201795E-3</v>
      </c>
      <c r="J41" s="6"/>
      <c r="K41">
        <v>213.529999</v>
      </c>
      <c r="L41" s="9">
        <f t="shared" si="3"/>
        <v>-5.1983374944895265E-3</v>
      </c>
      <c r="M41" s="10">
        <f t="shared" si="4"/>
        <v>-5.1983374944895265E-3</v>
      </c>
      <c r="N41" s="6"/>
      <c r="O41">
        <v>147.61000100000001</v>
      </c>
      <c r="P41" s="9">
        <f t="shared" si="6"/>
        <v>-2.8995318548910541E-2</v>
      </c>
      <c r="Q41" s="10">
        <f t="shared" si="5"/>
        <v>-2.8995318548910541E-2</v>
      </c>
      <c r="R41" s="6"/>
      <c r="S41">
        <v>6350.8798829999996</v>
      </c>
      <c r="T41" s="28">
        <f t="shared" si="7"/>
        <v>-1.0795363833524965E-2</v>
      </c>
      <c r="V41" s="6"/>
      <c r="W41">
        <v>64.209998999999996</v>
      </c>
      <c r="X41" s="27">
        <f t="shared" si="8"/>
        <v>-2.1803426597156568E-2</v>
      </c>
      <c r="Y41" s="26">
        <f t="shared" si="9"/>
        <v>-2.1803426597156568E-2</v>
      </c>
      <c r="Z41" s="6"/>
      <c r="AA41">
        <v>489.45001200000002</v>
      </c>
      <c r="AB41" s="27">
        <f t="shared" si="10"/>
        <v>-5.7411317419683904E-3</v>
      </c>
      <c r="AC41" s="26">
        <f t="shared" si="11"/>
        <v>-5.7411317419683904E-3</v>
      </c>
      <c r="AD41" s="6"/>
      <c r="AE41">
        <v>1840.170044</v>
      </c>
      <c r="AF41" s="27">
        <f t="shared" si="12"/>
        <v>1.5096380408201066E-2</v>
      </c>
      <c r="AG41" s="27">
        <f t="shared" si="13"/>
        <v>1.5096380408201066E-2</v>
      </c>
      <c r="AH41" s="6"/>
      <c r="AI41">
        <v>38.772499000000003</v>
      </c>
      <c r="AJ41" s="27">
        <f t="shared" si="14"/>
        <v>-2.9618905915762734E-2</v>
      </c>
      <c r="AK41" s="27">
        <f t="shared" si="15"/>
        <v>-2.9618905915762734E-2</v>
      </c>
    </row>
    <row r="42" spans="1:37" ht="14.5" x14ac:dyDescent="0.35">
      <c r="A42" s="1">
        <v>44694</v>
      </c>
      <c r="B42">
        <v>53.479401000000003</v>
      </c>
      <c r="D42" s="12">
        <f t="shared" si="0"/>
        <v>-1</v>
      </c>
      <c r="E42" s="13" t="str">
        <f t="shared" si="16"/>
        <v/>
      </c>
      <c r="F42" s="6"/>
      <c r="G42">
        <v>1059.8900149999999</v>
      </c>
      <c r="H42" s="9">
        <f t="shared" si="1"/>
        <v>1.6416703387851376E-3</v>
      </c>
      <c r="I42" s="10">
        <f t="shared" si="2"/>
        <v>1.6416703387851376E-3</v>
      </c>
      <c r="J42" s="6"/>
      <c r="K42">
        <v>212.41999799999999</v>
      </c>
      <c r="L42" s="9">
        <f t="shared" si="3"/>
        <v>2.8528378010812368E-2</v>
      </c>
      <c r="M42" s="10">
        <f t="shared" si="4"/>
        <v>2.8528378010812368E-2</v>
      </c>
      <c r="N42" s="6"/>
      <c r="O42">
        <v>143.33000200000001</v>
      </c>
      <c r="P42" s="9">
        <f t="shared" si="6"/>
        <v>1.8698060159100506E-2</v>
      </c>
      <c r="Q42" s="10">
        <f t="shared" si="5"/>
        <v>1.8698060159100506E-2</v>
      </c>
      <c r="R42" s="6"/>
      <c r="S42">
        <v>6282.3198240000002</v>
      </c>
      <c r="T42" s="28">
        <f t="shared" si="7"/>
        <v>2.2221028841398838E-3</v>
      </c>
      <c r="V42" s="6"/>
      <c r="W42">
        <v>62.810001</v>
      </c>
      <c r="X42" s="27">
        <f t="shared" si="8"/>
        <v>-1.7513166414373983E-2</v>
      </c>
      <c r="Y42" s="26">
        <f t="shared" si="9"/>
        <v>-1.7513166414373983E-2</v>
      </c>
      <c r="Z42" s="6"/>
      <c r="AA42">
        <v>486.64001500000001</v>
      </c>
      <c r="AB42" s="27">
        <f t="shared" si="10"/>
        <v>-5.5872928986326759E-2</v>
      </c>
      <c r="AC42" s="26">
        <f t="shared" si="11"/>
        <v>-5.5872928986326759E-2</v>
      </c>
      <c r="AD42" s="6"/>
      <c r="AE42">
        <v>1867.9499510000001</v>
      </c>
      <c r="AF42" s="27">
        <f t="shared" si="12"/>
        <v>4.5086910896575676E-2</v>
      </c>
      <c r="AG42" s="27">
        <f t="shared" si="13"/>
        <v>4.5086910896575676E-2</v>
      </c>
      <c r="AH42" s="6"/>
      <c r="AI42">
        <v>37.624099999999999</v>
      </c>
      <c r="AJ42" s="27">
        <f t="shared" si="14"/>
        <v>2.1874808965529685E-3</v>
      </c>
      <c r="AK42" s="27">
        <f t="shared" si="15"/>
        <v>2.1874808965529685E-3</v>
      </c>
    </row>
    <row r="43" spans="1:37" ht="14.5" x14ac:dyDescent="0.35">
      <c r="A43" s="1">
        <v>44697</v>
      </c>
      <c r="B43" t="s">
        <v>42</v>
      </c>
      <c r="D43" s="12">
        <f t="shared" si="0"/>
        <v>-1</v>
      </c>
      <c r="E43" s="13" t="str">
        <f t="shared" si="16"/>
        <v/>
      </c>
      <c r="F43" s="6"/>
      <c r="G43">
        <v>1061.630005</v>
      </c>
      <c r="H43" s="9">
        <f t="shared" si="1"/>
        <v>-3.3815604147322533E-3</v>
      </c>
      <c r="I43" s="10">
        <f t="shared" si="2"/>
        <v>-3.3815604147322533E-3</v>
      </c>
      <c r="J43" s="6"/>
      <c r="K43">
        <v>218.479996</v>
      </c>
      <c r="L43" s="9">
        <f t="shared" si="3"/>
        <v>-7.7352756817149985E-3</v>
      </c>
      <c r="M43" s="10">
        <f t="shared" si="4"/>
        <v>-7.7352756817149985E-3</v>
      </c>
      <c r="N43" s="6"/>
      <c r="O43">
        <v>146.009995</v>
      </c>
      <c r="P43" s="9">
        <f t="shared" si="6"/>
        <v>7.1228548429167482E-3</v>
      </c>
      <c r="Q43" s="10">
        <f t="shared" si="5"/>
        <v>7.1228548429167482E-3</v>
      </c>
      <c r="R43" s="6"/>
      <c r="S43">
        <v>6296.2797849999997</v>
      </c>
      <c r="T43" s="28">
        <f t="shared" si="7"/>
        <v>8.2754407013699023E-4</v>
      </c>
      <c r="V43" s="6"/>
      <c r="W43">
        <v>61.709999000000003</v>
      </c>
      <c r="X43" s="27">
        <f t="shared" si="8"/>
        <v>6.4333188532380362E-2</v>
      </c>
      <c r="Y43" s="26">
        <f t="shared" si="9"/>
        <v>6.4333188532380362E-2</v>
      </c>
      <c r="Z43" s="6"/>
      <c r="AA43">
        <v>459.45001200000002</v>
      </c>
      <c r="AB43" s="27">
        <f t="shared" si="10"/>
        <v>6.1421265127750105E-2</v>
      </c>
      <c r="AC43" s="26">
        <f t="shared" si="11"/>
        <v>6.1421265127750105E-2</v>
      </c>
      <c r="AD43" s="6"/>
      <c r="AE43">
        <v>1952.170044</v>
      </c>
      <c r="AF43" s="27">
        <f t="shared" si="12"/>
        <v>-1.9004542208824044E-2</v>
      </c>
      <c r="AG43" s="27">
        <f t="shared" si="13"/>
        <v>-1.9004542208824044E-2</v>
      </c>
      <c r="AH43" s="6"/>
      <c r="AI43">
        <v>37.706401999999997</v>
      </c>
      <c r="AJ43" s="27">
        <f t="shared" si="14"/>
        <v>4.1443837574319735E-2</v>
      </c>
      <c r="AK43" s="27">
        <f t="shared" si="15"/>
        <v>4.1443837574319735E-2</v>
      </c>
    </row>
    <row r="44" spans="1:37" ht="14.5" x14ac:dyDescent="0.35">
      <c r="A44" s="1">
        <v>44698</v>
      </c>
      <c r="B44">
        <v>53.477001000000001</v>
      </c>
      <c r="D44" s="12">
        <f t="shared" si="0"/>
        <v>1.8512631252216066E-6</v>
      </c>
      <c r="E44" s="13">
        <f t="shared" si="16"/>
        <v>1.8512631252216066E-6</v>
      </c>
      <c r="F44" s="6"/>
      <c r="G44">
        <v>1058.040039</v>
      </c>
      <c r="H44" s="9">
        <f t="shared" si="1"/>
        <v>3.6859682585226919E-3</v>
      </c>
      <c r="I44" s="10">
        <f t="shared" si="2"/>
        <v>3.6859682585226919E-3</v>
      </c>
      <c r="J44" s="6"/>
      <c r="K44">
        <v>216.78999300000001</v>
      </c>
      <c r="L44" s="9">
        <f t="shared" si="3"/>
        <v>1.9650399638141941E-2</v>
      </c>
      <c r="M44" s="10">
        <f t="shared" si="4"/>
        <v>1.9650399638141941E-2</v>
      </c>
      <c r="N44" s="6"/>
      <c r="O44">
        <v>147.050003</v>
      </c>
      <c r="P44" s="9">
        <f t="shared" si="6"/>
        <v>6.3923970134158563E-3</v>
      </c>
      <c r="Q44" s="10">
        <f t="shared" si="5"/>
        <v>6.3923970134158563E-3</v>
      </c>
      <c r="R44" s="6"/>
      <c r="S44">
        <v>6301.4902339999999</v>
      </c>
      <c r="T44" s="28">
        <f t="shared" si="7"/>
        <v>2.2813614028049628E-2</v>
      </c>
      <c r="V44" s="6"/>
      <c r="W44">
        <v>65.680000000000007</v>
      </c>
      <c r="X44" s="27">
        <f t="shared" si="8"/>
        <v>-1.7356866626065819E-2</v>
      </c>
      <c r="Y44" s="26">
        <f t="shared" si="9"/>
        <v>-1.7356866626065819E-2</v>
      </c>
      <c r="Z44" s="6"/>
      <c r="AA44">
        <v>487.67001299999998</v>
      </c>
      <c r="AB44" s="27">
        <f t="shared" si="10"/>
        <v>8.6120324974749271E-4</v>
      </c>
      <c r="AC44" s="26">
        <f t="shared" si="11"/>
        <v>8.6120324974749271E-4</v>
      </c>
      <c r="AD44" s="6"/>
      <c r="AE44">
        <v>1915.0699460000001</v>
      </c>
      <c r="AF44" s="27">
        <f t="shared" si="12"/>
        <v>1.7618214452413444E-2</v>
      </c>
      <c r="AG44" s="27">
        <f t="shared" si="13"/>
        <v>1.7618214452413444E-2</v>
      </c>
      <c r="AH44" s="6"/>
      <c r="AI44">
        <v>39.269100000000002</v>
      </c>
      <c r="AJ44" s="27">
        <f t="shared" si="14"/>
        <v>-1.3883689720416337E-2</v>
      </c>
      <c r="AK44" s="27">
        <f t="shared" si="15"/>
        <v>-1.3883689720416337E-2</v>
      </c>
    </row>
    <row r="45" spans="1:37" ht="14.5" x14ac:dyDescent="0.35">
      <c r="A45" s="1">
        <v>44699</v>
      </c>
      <c r="B45">
        <v>53.4771</v>
      </c>
      <c r="D45" s="12">
        <f t="shared" si="0"/>
        <v>-5.6285774658747162E-6</v>
      </c>
      <c r="E45" s="13">
        <f t="shared" si="16"/>
        <v>-5.6285774658747162E-6</v>
      </c>
      <c r="F45" s="6"/>
      <c r="G45">
        <v>1061.9399410000001</v>
      </c>
      <c r="H45" s="9">
        <f t="shared" si="1"/>
        <v>6.9694431052559635E-4</v>
      </c>
      <c r="I45" s="10">
        <f t="shared" si="2"/>
        <v>6.9694431052559635E-4</v>
      </c>
      <c r="J45" s="6"/>
      <c r="K45">
        <v>221.050003</v>
      </c>
      <c r="L45" s="9">
        <f t="shared" si="3"/>
        <v>-3.9764794755510591E-2</v>
      </c>
      <c r="M45" s="10">
        <f t="shared" si="4"/>
        <v>-3.9764794755510591E-2</v>
      </c>
      <c r="N45" s="6"/>
      <c r="O45">
        <v>147.990005</v>
      </c>
      <c r="P45" s="9">
        <f t="shared" si="6"/>
        <v>4.7295761629314665E-4</v>
      </c>
      <c r="Q45" s="10">
        <f t="shared" si="5"/>
        <v>4.7295761629314665E-4</v>
      </c>
      <c r="R45" s="6"/>
      <c r="S45">
        <v>6445.25</v>
      </c>
      <c r="T45" s="28">
        <f t="shared" si="7"/>
        <v>1.5920230091928115E-2</v>
      </c>
      <c r="V45" s="6"/>
      <c r="W45">
        <v>64.540001000000004</v>
      </c>
      <c r="X45" s="27">
        <f t="shared" si="8"/>
        <v>5.361014791431435E-2</v>
      </c>
      <c r="Y45" s="26">
        <f t="shared" si="9"/>
        <v>5.361014791431435E-2</v>
      </c>
      <c r="Z45" s="6"/>
      <c r="AA45">
        <v>488.08999599999999</v>
      </c>
      <c r="AB45" s="27">
        <f t="shared" si="10"/>
        <v>1.0080136942614242E-2</v>
      </c>
      <c r="AC45" s="26">
        <f t="shared" si="11"/>
        <v>1.0080136942614242E-2</v>
      </c>
      <c r="AD45" s="6"/>
      <c r="AE45">
        <v>1948.8100589999999</v>
      </c>
      <c r="AF45" s="27">
        <f t="shared" si="12"/>
        <v>-3.7520392334961683E-2</v>
      </c>
      <c r="AG45" s="27">
        <f t="shared" si="13"/>
        <v>-3.7520392334961683E-2</v>
      </c>
      <c r="AH45" s="6"/>
      <c r="AI45">
        <v>38.7239</v>
      </c>
      <c r="AJ45" s="27">
        <f t="shared" si="14"/>
        <v>3.5629159253071092E-2</v>
      </c>
      <c r="AK45" s="27">
        <f t="shared" si="15"/>
        <v>3.5629159253071092E-2</v>
      </c>
    </row>
    <row r="46" spans="1:37" ht="14.5" x14ac:dyDescent="0.35">
      <c r="A46" s="1">
        <v>44700</v>
      </c>
      <c r="B46">
        <v>53.476799</v>
      </c>
      <c r="D46" s="12">
        <f t="shared" si="0"/>
        <v>-3.7025402361401246E-6</v>
      </c>
      <c r="E46" s="13">
        <f t="shared" si="16"/>
        <v>-3.7025402361401246E-6</v>
      </c>
      <c r="F46" s="6"/>
      <c r="G46">
        <v>1062.6800539999999</v>
      </c>
      <c r="H46" s="9">
        <f t="shared" si="1"/>
        <v>1.0068373787319364E-3</v>
      </c>
      <c r="I46" s="10">
        <f t="shared" si="2"/>
        <v>1.0068373787319364E-3</v>
      </c>
      <c r="J46" s="6"/>
      <c r="K46">
        <v>212.259995</v>
      </c>
      <c r="L46" s="9">
        <f t="shared" si="3"/>
        <v>-2.3550363317408559E-4</v>
      </c>
      <c r="M46" s="10">
        <f t="shared" si="4"/>
        <v>-2.3550363317408559E-4</v>
      </c>
      <c r="N46" s="6"/>
      <c r="O46">
        <v>148.05999800000001</v>
      </c>
      <c r="P46" s="9">
        <f t="shared" si="6"/>
        <v>4.728285893939018E-4</v>
      </c>
      <c r="Q46" s="10">
        <f t="shared" si="5"/>
        <v>4.728285893939018E-4</v>
      </c>
      <c r="R46" s="6"/>
      <c r="S46">
        <v>6547.8598629999997</v>
      </c>
      <c r="T46" s="28">
        <f t="shared" si="7"/>
        <v>-1.2217732461266635E-3</v>
      </c>
      <c r="V46" s="6"/>
      <c r="W46">
        <v>68</v>
      </c>
      <c r="X46" s="27">
        <f t="shared" si="8"/>
        <v>1.3382411764705893E-2</v>
      </c>
      <c r="Y46" s="26">
        <f t="shared" si="9"/>
        <v>1.3382411764705893E-2</v>
      </c>
      <c r="Z46" s="6"/>
      <c r="AA46">
        <v>493.01001000000002</v>
      </c>
      <c r="AB46" s="27">
        <f t="shared" si="10"/>
        <v>-5.7402830421232178E-3</v>
      </c>
      <c r="AC46" s="26">
        <f t="shared" si="11"/>
        <v>-5.7402830421232178E-3</v>
      </c>
      <c r="AD46" s="6"/>
      <c r="AE46">
        <v>1875.6899410000001</v>
      </c>
      <c r="AF46" s="27">
        <f t="shared" si="12"/>
        <v>-3.3533884585672355E-3</v>
      </c>
      <c r="AG46" s="27">
        <f t="shared" si="13"/>
        <v>-3.3533884585672355E-3</v>
      </c>
      <c r="AH46" s="6"/>
      <c r="AI46">
        <v>40.1036</v>
      </c>
      <c r="AJ46" s="27">
        <f t="shared" si="14"/>
        <v>-4.3499835426246074E-2</v>
      </c>
      <c r="AK46" s="27">
        <f t="shared" si="15"/>
        <v>-4.3499835426246074E-2</v>
      </c>
    </row>
    <row r="47" spans="1:37" ht="14.5" x14ac:dyDescent="0.35">
      <c r="A47" s="1">
        <v>44701</v>
      </c>
      <c r="B47">
        <v>53.476601000000002</v>
      </c>
      <c r="D47" s="12">
        <f t="shared" si="0"/>
        <v>-1</v>
      </c>
      <c r="E47" s="13" t="str">
        <f t="shared" si="16"/>
        <v/>
      </c>
      <c r="F47" s="6"/>
      <c r="G47">
        <v>1063.75</v>
      </c>
      <c r="H47" s="9">
        <f t="shared" si="1"/>
        <v>6.3929870740298694E-4</v>
      </c>
      <c r="I47" s="10">
        <f t="shared" si="2"/>
        <v>6.3929870740298694E-4</v>
      </c>
      <c r="J47" s="6"/>
      <c r="K47">
        <v>212.21000699999999</v>
      </c>
      <c r="L47" s="9">
        <f t="shared" si="3"/>
        <v>3.345699903775048E-3</v>
      </c>
      <c r="M47" s="10">
        <f t="shared" si="4"/>
        <v>3.345699903775048E-3</v>
      </c>
      <c r="N47" s="6"/>
      <c r="O47">
        <v>148.13000500000001</v>
      </c>
      <c r="P47" s="9">
        <f t="shared" si="6"/>
        <v>3.5779314258443128E-3</v>
      </c>
      <c r="Q47" s="10">
        <f t="shared" si="5"/>
        <v>3.5779314258443128E-3</v>
      </c>
      <c r="R47" s="6"/>
      <c r="S47">
        <v>6539.8598629999997</v>
      </c>
      <c r="T47" s="28">
        <f t="shared" si="7"/>
        <v>-4.689691009056419E-3</v>
      </c>
      <c r="V47" s="6"/>
      <c r="W47">
        <v>68.910004000000001</v>
      </c>
      <c r="X47" s="27">
        <f t="shared" si="8"/>
        <v>3.3521939717199779E-2</v>
      </c>
      <c r="Y47" s="26">
        <f t="shared" si="9"/>
        <v>3.3521939717199779E-2</v>
      </c>
      <c r="Z47" s="6"/>
      <c r="AA47">
        <v>490.17999300000002</v>
      </c>
      <c r="AB47" s="27">
        <f t="shared" si="10"/>
        <v>-2.5929234529162022E-2</v>
      </c>
      <c r="AC47" s="26">
        <f t="shared" si="11"/>
        <v>-2.5929234529162022E-2</v>
      </c>
      <c r="AD47" s="6"/>
      <c r="AE47">
        <v>1869.400024</v>
      </c>
      <c r="AF47" s="27">
        <f t="shared" si="12"/>
        <v>3.9798555175368788E-3</v>
      </c>
      <c r="AG47" s="27">
        <f t="shared" si="13"/>
        <v>3.9798555175368788E-3</v>
      </c>
      <c r="AH47" s="6"/>
      <c r="AI47">
        <v>38.359099999999998</v>
      </c>
      <c r="AJ47" s="27">
        <f t="shared" si="14"/>
        <v>-2.6173450367708291E-3</v>
      </c>
      <c r="AK47" s="27">
        <f t="shared" si="15"/>
        <v>-2.6173450367708291E-3</v>
      </c>
    </row>
    <row r="48" spans="1:37" ht="14.5" x14ac:dyDescent="0.35">
      <c r="A48" s="1">
        <v>44704</v>
      </c>
      <c r="B48" t="s">
        <v>42</v>
      </c>
      <c r="D48" s="12">
        <f t="shared" si="0"/>
        <v>-1</v>
      </c>
      <c r="E48" s="13" t="str">
        <f t="shared" si="16"/>
        <v/>
      </c>
      <c r="F48" s="6"/>
      <c r="G48">
        <v>1064.4300539999999</v>
      </c>
      <c r="H48" s="9">
        <f t="shared" si="1"/>
        <v>-1</v>
      </c>
      <c r="I48" s="10" t="str">
        <f t="shared" si="2"/>
        <v/>
      </c>
      <c r="J48" s="6"/>
      <c r="K48">
        <v>212.91999799999999</v>
      </c>
      <c r="L48" s="9">
        <f t="shared" si="3"/>
        <v>1.8598567711803279E-2</v>
      </c>
      <c r="M48" s="10">
        <f t="shared" si="4"/>
        <v>1.8598567711803279E-2</v>
      </c>
      <c r="N48" s="6"/>
      <c r="O48">
        <v>148.66000399999999</v>
      </c>
      <c r="P48" s="9">
        <f t="shared" si="6"/>
        <v>7.1975781730774973E-3</v>
      </c>
      <c r="Q48" s="10">
        <f t="shared" si="5"/>
        <v>7.1975781730774973E-3</v>
      </c>
      <c r="R48" s="6"/>
      <c r="S48">
        <v>6509.1899409999996</v>
      </c>
      <c r="T48" s="28">
        <f t="shared" si="7"/>
        <v>-9.4973144984768915E-3</v>
      </c>
      <c r="V48" s="6"/>
      <c r="W48">
        <v>71.220000999999996</v>
      </c>
      <c r="X48" s="27">
        <f t="shared" si="8"/>
        <v>6.8800616837958193E-3</v>
      </c>
      <c r="Y48" s="26">
        <f t="shared" si="9"/>
        <v>6.8800616837958193E-3</v>
      </c>
      <c r="Z48" s="6"/>
      <c r="AA48">
        <v>477.47000100000002</v>
      </c>
      <c r="AB48" s="27">
        <f t="shared" si="10"/>
        <v>1.6126692742734129E-2</v>
      </c>
      <c r="AC48" s="26">
        <f t="shared" si="11"/>
        <v>1.6126692742734129E-2</v>
      </c>
      <c r="AD48" s="6"/>
      <c r="AE48">
        <v>1876.839966</v>
      </c>
      <c r="AF48" s="27">
        <f t="shared" si="12"/>
        <v>5.6797778143648052E-3</v>
      </c>
      <c r="AG48" s="27">
        <f t="shared" si="13"/>
        <v>5.6797778143648052E-3</v>
      </c>
      <c r="AH48" s="6"/>
      <c r="AI48">
        <v>38.258701000000002</v>
      </c>
      <c r="AJ48" s="27">
        <f t="shared" si="14"/>
        <v>1.5630431362527346E-3</v>
      </c>
      <c r="AK48" s="27">
        <f t="shared" si="15"/>
        <v>1.5630431362527346E-3</v>
      </c>
    </row>
    <row r="49" spans="1:37" ht="14.5" x14ac:dyDescent="0.35">
      <c r="A49" s="1">
        <v>44705</v>
      </c>
      <c r="B49">
        <v>53.473801000000002</v>
      </c>
      <c r="D49" s="12">
        <f t="shared" si="0"/>
        <v>-1</v>
      </c>
      <c r="E49" s="13" t="str">
        <f t="shared" si="16"/>
        <v/>
      </c>
      <c r="F49" s="6"/>
      <c r="G49" t="s">
        <v>42</v>
      </c>
      <c r="H49" s="9">
        <f t="shared" si="1"/>
        <v>-1</v>
      </c>
      <c r="I49" s="10" t="str">
        <f t="shared" si="2"/>
        <v/>
      </c>
      <c r="J49" s="6"/>
      <c r="K49">
        <v>216.88000500000001</v>
      </c>
      <c r="L49" s="9">
        <f t="shared" si="3"/>
        <v>-1.387868835580312E-2</v>
      </c>
      <c r="M49" s="10">
        <f t="shared" si="4"/>
        <v>-1.387868835580312E-2</v>
      </c>
      <c r="N49" s="6"/>
      <c r="O49">
        <v>149.729996</v>
      </c>
      <c r="P49" s="9">
        <f t="shared" si="6"/>
        <v>-2.0971081839873864E-2</v>
      </c>
      <c r="Q49" s="10">
        <f t="shared" si="5"/>
        <v>-2.0971081839873864E-2</v>
      </c>
      <c r="R49" s="6"/>
      <c r="S49">
        <v>6447.3701170000004</v>
      </c>
      <c r="T49" s="28">
        <f t="shared" si="7"/>
        <v>1.5142590114778051E-2</v>
      </c>
      <c r="V49" s="6"/>
      <c r="W49">
        <v>71.709998999999996</v>
      </c>
      <c r="X49" s="27">
        <f t="shared" si="8"/>
        <v>5.5780505588906874E-3</v>
      </c>
      <c r="Y49" s="26">
        <f t="shared" si="9"/>
        <v>5.5780505588906874E-3</v>
      </c>
      <c r="Z49" s="6"/>
      <c r="AA49">
        <v>485.17001299999998</v>
      </c>
      <c r="AB49" s="27">
        <f t="shared" si="10"/>
        <v>-1.8632660217604999E-2</v>
      </c>
      <c r="AC49" s="26">
        <f t="shared" si="11"/>
        <v>-1.8632660217604999E-2</v>
      </c>
      <c r="AD49" s="6"/>
      <c r="AE49">
        <v>1887.5</v>
      </c>
      <c r="AF49" s="27">
        <f t="shared" si="12"/>
        <v>-3.1618571655629098E-2</v>
      </c>
      <c r="AG49" s="27">
        <f t="shared" si="13"/>
        <v>-3.1618571655629098E-2</v>
      </c>
      <c r="AH49" s="6"/>
      <c r="AI49">
        <v>38.318500999999998</v>
      </c>
      <c r="AJ49" s="27">
        <f t="shared" si="14"/>
        <v>1.4014065946890879E-2</v>
      </c>
      <c r="AK49" s="27">
        <f t="shared" si="15"/>
        <v>1.4014065946890879E-2</v>
      </c>
    </row>
    <row r="50" spans="1:37" ht="14.5" x14ac:dyDescent="0.35">
      <c r="A50" s="1">
        <v>44706</v>
      </c>
      <c r="B50" t="s">
        <v>42</v>
      </c>
      <c r="D50" s="12">
        <f t="shared" si="0"/>
        <v>-1</v>
      </c>
      <c r="E50" s="13" t="str">
        <f t="shared" si="16"/>
        <v/>
      </c>
      <c r="F50" s="6"/>
      <c r="G50">
        <v>1059.8199460000001</v>
      </c>
      <c r="H50" s="9">
        <f t="shared" si="1"/>
        <v>-5.0944219538217618E-4</v>
      </c>
      <c r="I50" s="10">
        <f t="shared" si="2"/>
        <v>-5.0944219538217618E-4</v>
      </c>
      <c r="J50" s="6"/>
      <c r="K50">
        <v>213.86999499999999</v>
      </c>
      <c r="L50" s="9">
        <f t="shared" si="3"/>
        <v>3.9276757826641438E-3</v>
      </c>
      <c r="M50" s="10">
        <f t="shared" si="4"/>
        <v>3.9276757826641438E-3</v>
      </c>
      <c r="N50" s="6"/>
      <c r="O50">
        <v>146.58999600000001</v>
      </c>
      <c r="P50" s="9">
        <f t="shared" si="6"/>
        <v>-2.0463879404162194E-4</v>
      </c>
      <c r="Q50" s="10">
        <f t="shared" si="5"/>
        <v>-2.0463879404162194E-4</v>
      </c>
      <c r="R50" s="6"/>
      <c r="S50">
        <v>6545</v>
      </c>
      <c r="T50" s="28">
        <f t="shared" si="7"/>
        <v>-1.7082010695186932E-3</v>
      </c>
      <c r="V50" s="6"/>
      <c r="W50">
        <v>72.110000999999997</v>
      </c>
      <c r="X50" s="27">
        <f t="shared" si="8"/>
        <v>-1.2342254717206295E-2</v>
      </c>
      <c r="Y50" s="26">
        <f t="shared" si="9"/>
        <v>-1.2342254717206295E-2</v>
      </c>
      <c r="Z50" s="6"/>
      <c r="AA50">
        <v>476.13000499999998</v>
      </c>
      <c r="AB50" s="27">
        <f t="shared" si="10"/>
        <v>-2.8794639816913031E-2</v>
      </c>
      <c r="AC50" s="26">
        <f t="shared" si="11"/>
        <v>-2.8794639816913031E-2</v>
      </c>
      <c r="AD50" s="6"/>
      <c r="AE50">
        <v>1827.8199460000001</v>
      </c>
      <c r="AF50" s="27">
        <f t="shared" si="12"/>
        <v>1.8470096069298482E-2</v>
      </c>
      <c r="AG50" s="27">
        <f t="shared" si="13"/>
        <v>1.8470096069298482E-2</v>
      </c>
      <c r="AH50" s="6"/>
      <c r="AI50">
        <v>38.855499000000002</v>
      </c>
      <c r="AJ50" s="27">
        <f t="shared" si="14"/>
        <v>-2.4935955654565144E-2</v>
      </c>
      <c r="AK50" s="27">
        <f t="shared" si="15"/>
        <v>-2.4935955654565144E-2</v>
      </c>
    </row>
    <row r="51" spans="1:37" ht="14.5" x14ac:dyDescent="0.35">
      <c r="A51" s="1">
        <v>44707</v>
      </c>
      <c r="B51">
        <v>53.473098999999998</v>
      </c>
      <c r="D51" s="12">
        <f t="shared" si="0"/>
        <v>-1</v>
      </c>
      <c r="E51" s="13" t="str">
        <f t="shared" si="16"/>
        <v/>
      </c>
      <c r="F51" s="6"/>
      <c r="G51">
        <v>1059.280029</v>
      </c>
      <c r="H51" s="9">
        <f t="shared" si="1"/>
        <v>-1</v>
      </c>
      <c r="I51" s="10" t="str">
        <f t="shared" si="2"/>
        <v/>
      </c>
      <c r="J51" s="6"/>
      <c r="K51">
        <v>214.71000699999999</v>
      </c>
      <c r="L51" s="9">
        <f t="shared" si="3"/>
        <v>5.0579850244241359E-2</v>
      </c>
      <c r="M51" s="10">
        <f t="shared" si="4"/>
        <v>5.0579850244241359E-2</v>
      </c>
      <c r="N51" s="6"/>
      <c r="O51">
        <v>146.55999800000001</v>
      </c>
      <c r="P51" s="9">
        <f t="shared" si="6"/>
        <v>-1</v>
      </c>
      <c r="Q51" s="10" t="str">
        <f t="shared" si="5"/>
        <v/>
      </c>
      <c r="R51" s="6"/>
      <c r="S51">
        <v>6533.8198240000002</v>
      </c>
      <c r="T51" s="28">
        <f t="shared" si="7"/>
        <v>-1.6314603535354908E-3</v>
      </c>
      <c r="V51" s="6"/>
      <c r="W51">
        <v>71.220000999999996</v>
      </c>
      <c r="X51" s="27">
        <f t="shared" si="8"/>
        <v>1.0530749641522752E-2</v>
      </c>
      <c r="Y51" s="26">
        <f t="shared" si="9"/>
        <v>1.0530749641522752E-2</v>
      </c>
      <c r="Z51" s="6"/>
      <c r="AA51">
        <v>462.42001299999998</v>
      </c>
      <c r="AB51" s="27">
        <f t="shared" si="10"/>
        <v>1.0401794612639327E-2</v>
      </c>
      <c r="AC51" s="26">
        <f t="shared" si="11"/>
        <v>1.0401794612639327E-2</v>
      </c>
      <c r="AD51" s="6"/>
      <c r="AE51">
        <v>1861.579956</v>
      </c>
      <c r="AF51" s="27">
        <f t="shared" si="12"/>
        <v>-1</v>
      </c>
      <c r="AG51" s="27" t="str">
        <f t="shared" si="13"/>
        <v/>
      </c>
      <c r="AH51" s="6"/>
      <c r="AI51">
        <v>37.886600000000001</v>
      </c>
      <c r="AJ51" s="27">
        <f t="shared" si="14"/>
        <v>1.7948324737506061E-2</v>
      </c>
      <c r="AK51" s="27">
        <f t="shared" si="15"/>
        <v>1.7948324737506061E-2</v>
      </c>
    </row>
    <row r="52" spans="1:37" ht="14.5" x14ac:dyDescent="0.35">
      <c r="A52" s="1">
        <v>44708</v>
      </c>
      <c r="B52" t="s">
        <v>42</v>
      </c>
      <c r="D52" s="12">
        <f t="shared" si="0"/>
        <v>-1</v>
      </c>
      <c r="E52" s="13" t="str">
        <f t="shared" si="16"/>
        <v/>
      </c>
      <c r="F52" s="6"/>
      <c r="G52" t="s">
        <v>42</v>
      </c>
      <c r="H52" s="9">
        <f t="shared" si="1"/>
        <v>-1</v>
      </c>
      <c r="I52" s="10" t="str">
        <f t="shared" si="2"/>
        <v/>
      </c>
      <c r="J52" s="6"/>
      <c r="K52">
        <v>225.570007</v>
      </c>
      <c r="L52" s="9">
        <f t="shared" si="3"/>
        <v>-1</v>
      </c>
      <c r="M52" s="10" t="str">
        <f t="shared" si="4"/>
        <v/>
      </c>
      <c r="N52" s="6"/>
      <c r="O52" t="s">
        <v>42</v>
      </c>
      <c r="P52" s="9">
        <f t="shared" si="6"/>
        <v>-1</v>
      </c>
      <c r="Q52" s="10" t="str">
        <f t="shared" si="5"/>
        <v/>
      </c>
      <c r="R52" s="6"/>
      <c r="S52">
        <v>6523.1601559999999</v>
      </c>
      <c r="T52" s="28">
        <f t="shared" si="7"/>
        <v>-8.6006641962329655E-4</v>
      </c>
      <c r="V52" s="6"/>
      <c r="W52">
        <v>71.970000999999996</v>
      </c>
      <c r="X52" s="27">
        <f t="shared" si="8"/>
        <v>-1</v>
      </c>
      <c r="Y52" s="26" t="str">
        <f t="shared" si="9"/>
        <v/>
      </c>
      <c r="Z52" s="6"/>
      <c r="AA52">
        <v>467.23001099999999</v>
      </c>
      <c r="AB52" s="27">
        <f t="shared" si="10"/>
        <v>-1</v>
      </c>
      <c r="AC52" s="26" t="str">
        <f t="shared" si="11"/>
        <v/>
      </c>
      <c r="AD52" s="6"/>
      <c r="AE52" t="s">
        <v>42</v>
      </c>
      <c r="AF52" s="27">
        <f t="shared" si="12"/>
        <v>-1</v>
      </c>
      <c r="AG52" s="27" t="str">
        <f t="shared" si="13"/>
        <v/>
      </c>
      <c r="AH52" s="6"/>
      <c r="AI52">
        <v>38.566600999999999</v>
      </c>
      <c r="AJ52" s="27">
        <f t="shared" si="14"/>
        <v>-1</v>
      </c>
      <c r="AK52" s="27" t="str">
        <f t="shared" si="15"/>
        <v/>
      </c>
    </row>
    <row r="53" spans="1:37" ht="14.5" x14ac:dyDescent="0.35">
      <c r="A53" s="1">
        <v>44711</v>
      </c>
      <c r="B53">
        <v>53.470699000000003</v>
      </c>
      <c r="D53" s="12">
        <f t="shared" si="0"/>
        <v>-9.3322138916663903E-6</v>
      </c>
      <c r="E53" s="13">
        <f t="shared" si="16"/>
        <v>-9.3322138916663903E-6</v>
      </c>
      <c r="F53" s="6"/>
      <c r="G53">
        <v>1060.209961</v>
      </c>
      <c r="H53" s="9">
        <f t="shared" si="1"/>
        <v>1.0281812472047915E-3</v>
      </c>
      <c r="I53" s="10">
        <f t="shared" si="2"/>
        <v>1.0281812472047915E-3</v>
      </c>
      <c r="J53" s="6"/>
      <c r="K53" t="s">
        <v>42</v>
      </c>
      <c r="L53" s="9">
        <f t="shared" si="3"/>
        <v>-1</v>
      </c>
      <c r="M53" s="10" t="str">
        <f t="shared" si="4"/>
        <v/>
      </c>
      <c r="N53" s="6"/>
      <c r="O53">
        <v>150.050003</v>
      </c>
      <c r="P53" s="9">
        <f t="shared" si="6"/>
        <v>2.7324491289746023E-3</v>
      </c>
      <c r="Q53" s="10">
        <f t="shared" si="5"/>
        <v>2.7324491289746023E-3</v>
      </c>
      <c r="R53" s="6"/>
      <c r="S53">
        <v>6517.5498049999997</v>
      </c>
      <c r="T53" s="28">
        <f t="shared" si="7"/>
        <v>-1.6105703852001434E-2</v>
      </c>
      <c r="V53" s="6"/>
      <c r="W53" t="s">
        <v>42</v>
      </c>
      <c r="X53" s="27">
        <f t="shared" si="8"/>
        <v>-1</v>
      </c>
      <c r="Y53" s="26" t="str">
        <f t="shared" si="9"/>
        <v/>
      </c>
      <c r="Z53" s="6"/>
      <c r="AA53" t="s">
        <v>42</v>
      </c>
      <c r="AB53" s="27">
        <f t="shared" si="10"/>
        <v>-1</v>
      </c>
      <c r="AC53" s="26" t="str">
        <f t="shared" si="11"/>
        <v/>
      </c>
      <c r="AD53" s="6"/>
      <c r="AE53">
        <v>1964.3199460000001</v>
      </c>
      <c r="AF53" s="27">
        <f t="shared" si="12"/>
        <v>-4.0064730880658775E-3</v>
      </c>
      <c r="AG53" s="27">
        <f t="shared" si="13"/>
        <v>-4.0064730880658775E-3</v>
      </c>
      <c r="AH53" s="6"/>
      <c r="AI53" t="s">
        <v>42</v>
      </c>
      <c r="AJ53" s="27">
        <f t="shared" si="14"/>
        <v>-1</v>
      </c>
      <c r="AK53" s="27" t="str">
        <f t="shared" si="15"/>
        <v/>
      </c>
    </row>
    <row r="54" spans="1:37" ht="14.5" x14ac:dyDescent="0.35">
      <c r="A54" s="1">
        <v>44712</v>
      </c>
      <c r="B54">
        <v>53.470199999999998</v>
      </c>
      <c r="D54" s="12">
        <f t="shared" si="0"/>
        <v>-9.3510029884923194E-6</v>
      </c>
      <c r="E54" s="13">
        <f t="shared" si="16"/>
        <v>-9.3510029884923194E-6</v>
      </c>
      <c r="F54" s="6"/>
      <c r="G54">
        <v>1061.3000489999999</v>
      </c>
      <c r="H54" s="9">
        <f t="shared" si="1"/>
        <v>1.9786817139778403E-3</v>
      </c>
      <c r="I54" s="10">
        <f t="shared" si="2"/>
        <v>1.9786817139778403E-3</v>
      </c>
      <c r="J54" s="6"/>
      <c r="K54">
        <v>224.53999300000001</v>
      </c>
      <c r="L54" s="9">
        <f t="shared" si="3"/>
        <v>-1.2380859030310944E-2</v>
      </c>
      <c r="M54" s="10">
        <f t="shared" si="4"/>
        <v>-1.2380859030310944E-2</v>
      </c>
      <c r="N54" s="6"/>
      <c r="O54">
        <v>150.46000699999999</v>
      </c>
      <c r="P54" s="9">
        <f t="shared" si="6"/>
        <v>-2.9243850826086307E-3</v>
      </c>
      <c r="Q54" s="10">
        <f t="shared" si="5"/>
        <v>-2.9243850826086307E-3</v>
      </c>
      <c r="R54" s="6"/>
      <c r="S54">
        <v>6412.580078</v>
      </c>
      <c r="T54" s="28">
        <f t="shared" si="7"/>
        <v>-1.4997071511034321E-2</v>
      </c>
      <c r="V54" s="6"/>
      <c r="W54">
        <v>75.260002</v>
      </c>
      <c r="X54" s="27">
        <f t="shared" si="8"/>
        <v>1.1958011906510353E-3</v>
      </c>
      <c r="Y54" s="26">
        <f t="shared" si="9"/>
        <v>1.1958011906510353E-3</v>
      </c>
      <c r="Z54" s="6"/>
      <c r="AA54">
        <v>501.48998999999998</v>
      </c>
      <c r="AB54" s="27">
        <f t="shared" si="10"/>
        <v>2.9910866216890991E-3</v>
      </c>
      <c r="AC54" s="26">
        <f t="shared" si="11"/>
        <v>2.9910866216890991E-3</v>
      </c>
      <c r="AD54" s="6"/>
      <c r="AE54">
        <v>1956.4499510000001</v>
      </c>
      <c r="AF54" s="27">
        <f t="shared" si="12"/>
        <v>-3.9510236364845644E-3</v>
      </c>
      <c r="AG54" s="27">
        <f t="shared" si="13"/>
        <v>-3.9510236364845644E-3</v>
      </c>
      <c r="AH54" s="6"/>
      <c r="AI54">
        <v>41.129398000000002</v>
      </c>
      <c r="AJ54" s="27">
        <f t="shared" si="14"/>
        <v>-9.367970812507476E-3</v>
      </c>
      <c r="AK54" s="27">
        <f t="shared" si="15"/>
        <v>-9.367970812507476E-3</v>
      </c>
    </row>
    <row r="55" spans="1:37" ht="14.5" x14ac:dyDescent="0.35">
      <c r="A55" s="1">
        <v>44713</v>
      </c>
      <c r="B55">
        <v>53.469700000000003</v>
      </c>
      <c r="D55" s="12">
        <f t="shared" si="0"/>
        <v>-9.351090430699769E-6</v>
      </c>
      <c r="E55" s="13">
        <f t="shared" si="16"/>
        <v>-9.351090430699769E-6</v>
      </c>
      <c r="F55" s="6"/>
      <c r="G55">
        <v>1063.400024</v>
      </c>
      <c r="H55" s="9">
        <f t="shared" si="1"/>
        <v>-3.7651870506238432E-5</v>
      </c>
      <c r="I55" s="10">
        <f t="shared" si="2"/>
        <v>-3.7651870506238432E-5</v>
      </c>
      <c r="J55" s="6"/>
      <c r="K55">
        <v>221.759995</v>
      </c>
      <c r="L55" s="9">
        <f t="shared" si="3"/>
        <v>2.7281760175003628E-2</v>
      </c>
      <c r="M55" s="10">
        <f t="shared" si="4"/>
        <v>2.7281760175003628E-2</v>
      </c>
      <c r="N55" s="6"/>
      <c r="O55">
        <v>150.020004</v>
      </c>
      <c r="P55" s="9">
        <f t="shared" si="6"/>
        <v>-1.7131095397117865E-2</v>
      </c>
      <c r="Q55" s="10">
        <f t="shared" si="5"/>
        <v>-1.7131095397117865E-2</v>
      </c>
      <c r="R55" s="6"/>
      <c r="S55">
        <v>6316.4101559999999</v>
      </c>
      <c r="T55" s="28">
        <f t="shared" si="7"/>
        <v>-3.6153502600378043E-2</v>
      </c>
      <c r="V55" s="6"/>
      <c r="W55">
        <v>75.349997999999999</v>
      </c>
      <c r="X55" s="27">
        <f t="shared" si="8"/>
        <v>-7.5646850050347146E-3</v>
      </c>
      <c r="Y55" s="26">
        <f t="shared" si="9"/>
        <v>-7.5646850050347146E-3</v>
      </c>
      <c r="Z55" s="6"/>
      <c r="AA55">
        <v>502.98998999999998</v>
      </c>
      <c r="AB55" s="27">
        <f t="shared" si="10"/>
        <v>2.2346349278243048E-2</v>
      </c>
      <c r="AC55" s="26">
        <f t="shared" si="11"/>
        <v>2.2346349278243048E-2</v>
      </c>
      <c r="AD55" s="6"/>
      <c r="AE55">
        <v>1948.719971</v>
      </c>
      <c r="AF55" s="27">
        <f t="shared" si="12"/>
        <v>6.6713022873814858E-5</v>
      </c>
      <c r="AG55" s="27">
        <f t="shared" si="13"/>
        <v>6.6713022873814858E-5</v>
      </c>
      <c r="AH55" s="6"/>
      <c r="AI55">
        <v>40.744098999999999</v>
      </c>
      <c r="AJ55" s="27">
        <f t="shared" si="14"/>
        <v>-8.6024481729243592E-3</v>
      </c>
      <c r="AK55" s="27">
        <f t="shared" si="15"/>
        <v>-8.6024481729243592E-3</v>
      </c>
    </row>
    <row r="56" spans="1:37" ht="14.5" x14ac:dyDescent="0.35">
      <c r="A56" s="1">
        <v>44714</v>
      </c>
      <c r="B56">
        <v>53.469200000000001</v>
      </c>
      <c r="D56" s="12">
        <f t="shared" si="0"/>
        <v>-1</v>
      </c>
      <c r="E56" s="13" t="str">
        <f t="shared" si="16"/>
        <v/>
      </c>
      <c r="F56" s="6"/>
      <c r="G56">
        <v>1063.3599850000001</v>
      </c>
      <c r="H56" s="9">
        <f t="shared" si="1"/>
        <v>1.4671033535269902E-3</v>
      </c>
      <c r="I56" s="10">
        <f t="shared" si="2"/>
        <v>1.4671033535269902E-3</v>
      </c>
      <c r="J56" s="6"/>
      <c r="K56">
        <v>227.80999800000001</v>
      </c>
      <c r="L56" s="9">
        <f t="shared" si="3"/>
        <v>-1.8260849113391479E-2</v>
      </c>
      <c r="M56" s="10">
        <f t="shared" si="4"/>
        <v>-1.8260849113391479E-2</v>
      </c>
      <c r="N56" s="6"/>
      <c r="O56">
        <v>147.449997</v>
      </c>
      <c r="P56" s="9">
        <f t="shared" si="6"/>
        <v>8.1390303453181983E-4</v>
      </c>
      <c r="Q56" s="10">
        <f t="shared" si="5"/>
        <v>8.1390303453181983E-4</v>
      </c>
      <c r="R56" s="6"/>
      <c r="S56">
        <v>6088.0498049999997</v>
      </c>
      <c r="T56" s="28">
        <f t="shared" si="7"/>
        <v>-3.9832131432439889E-3</v>
      </c>
      <c r="V56" s="6"/>
      <c r="W56">
        <v>74.779999000000004</v>
      </c>
      <c r="X56" s="27">
        <f t="shared" si="8"/>
        <v>3.9449104566048374E-2</v>
      </c>
      <c r="Y56" s="26">
        <f t="shared" si="9"/>
        <v>3.9449104566048374E-2</v>
      </c>
      <c r="Z56" s="6"/>
      <c r="AA56">
        <v>514.22997999999995</v>
      </c>
      <c r="AB56" s="27">
        <f t="shared" si="10"/>
        <v>-1.2581860746430874E-2</v>
      </c>
      <c r="AC56" s="26">
        <f t="shared" si="11"/>
        <v>-1.2581860746430874E-2</v>
      </c>
      <c r="AD56" s="6"/>
      <c r="AE56">
        <v>1948.849976</v>
      </c>
      <c r="AF56" s="27">
        <f t="shared" si="12"/>
        <v>3.3640382177883982E-2</v>
      </c>
      <c r="AG56" s="27">
        <f t="shared" si="13"/>
        <v>3.3640382177883982E-2</v>
      </c>
      <c r="AH56" s="6"/>
      <c r="AI56">
        <v>40.393599999999999</v>
      </c>
      <c r="AJ56" s="27">
        <f t="shared" si="14"/>
        <v>2.6080913808128062E-2</v>
      </c>
      <c r="AK56" s="27">
        <f t="shared" si="15"/>
        <v>2.6080913808128062E-2</v>
      </c>
    </row>
    <row r="57" spans="1:37" ht="14.5" x14ac:dyDescent="0.35">
      <c r="A57" s="1">
        <v>44715</v>
      </c>
      <c r="B57" t="s">
        <v>42</v>
      </c>
      <c r="D57" s="12">
        <f t="shared" si="0"/>
        <v>-1</v>
      </c>
      <c r="E57" s="13" t="str">
        <f t="shared" si="16"/>
        <v/>
      </c>
      <c r="F57" s="6"/>
      <c r="G57">
        <v>1064.920044</v>
      </c>
      <c r="H57" s="9">
        <f t="shared" si="1"/>
        <v>-2.1692323409774322E-3</v>
      </c>
      <c r="I57" s="10">
        <f t="shared" si="2"/>
        <v>-2.1692323409774322E-3</v>
      </c>
      <c r="J57" s="6"/>
      <c r="K57">
        <v>223.64999399999999</v>
      </c>
      <c r="L57" s="9">
        <f t="shared" si="3"/>
        <v>8.0483033681637561E-3</v>
      </c>
      <c r="M57" s="10">
        <f t="shared" si="4"/>
        <v>8.0483033681637561E-3</v>
      </c>
      <c r="N57" s="6"/>
      <c r="O57">
        <v>147.570007</v>
      </c>
      <c r="P57" s="9">
        <f t="shared" si="6"/>
        <v>6.7730565330958672E-5</v>
      </c>
      <c r="Q57" s="10">
        <f t="shared" si="5"/>
        <v>6.7730565330958672E-5</v>
      </c>
      <c r="R57" s="6"/>
      <c r="S57">
        <v>6063.7998049999997</v>
      </c>
      <c r="T57" s="28">
        <f t="shared" si="7"/>
        <v>-6.7548339848267089E-3</v>
      </c>
      <c r="V57" s="6"/>
      <c r="W57">
        <v>77.730002999999996</v>
      </c>
      <c r="X57" s="27">
        <f t="shared" si="8"/>
        <v>-4.5028430013053442E-3</v>
      </c>
      <c r="Y57" s="26">
        <f t="shared" si="9"/>
        <v>-4.5028430013053442E-3</v>
      </c>
      <c r="Z57" s="6"/>
      <c r="AA57">
        <v>507.76001000000002</v>
      </c>
      <c r="AB57" s="27">
        <f t="shared" si="10"/>
        <v>2.329844171855901E-2</v>
      </c>
      <c r="AC57" s="26">
        <f t="shared" si="11"/>
        <v>2.329844171855901E-2</v>
      </c>
      <c r="AD57" s="6"/>
      <c r="AE57">
        <v>2014.410034</v>
      </c>
      <c r="AF57" s="27">
        <f t="shared" si="12"/>
        <v>-2.2036235548258822E-2</v>
      </c>
      <c r="AG57" s="27">
        <f t="shared" si="13"/>
        <v>-2.2036235548258822E-2</v>
      </c>
      <c r="AH57" s="6"/>
      <c r="AI57">
        <v>41.447102000000001</v>
      </c>
      <c r="AJ57" s="27">
        <f t="shared" si="14"/>
        <v>-2.0855571518607088E-2</v>
      </c>
      <c r="AK57" s="27">
        <f t="shared" si="15"/>
        <v>-2.0855571518607088E-2</v>
      </c>
    </row>
    <row r="58" spans="1:37" ht="14.5" x14ac:dyDescent="0.35">
      <c r="A58" s="1">
        <v>44718</v>
      </c>
      <c r="B58">
        <v>53.467498999999997</v>
      </c>
      <c r="D58" s="12">
        <f t="shared" si="0"/>
        <v>-1.6832655666096328E-5</v>
      </c>
      <c r="E58" s="13">
        <f t="shared" si="16"/>
        <v>-1.6832655666096328E-5</v>
      </c>
      <c r="F58" s="6"/>
      <c r="G58">
        <v>1062.6099850000001</v>
      </c>
      <c r="H58" s="9">
        <f t="shared" si="1"/>
        <v>-1</v>
      </c>
      <c r="I58" s="10" t="str">
        <f t="shared" si="2"/>
        <v/>
      </c>
      <c r="J58" s="6"/>
      <c r="K58">
        <v>225.449997</v>
      </c>
      <c r="L58" s="9">
        <f t="shared" si="3"/>
        <v>-9.536456103833935E-3</v>
      </c>
      <c r="M58" s="10">
        <f t="shared" si="4"/>
        <v>-9.536456103833935E-3</v>
      </c>
      <c r="N58" s="6"/>
      <c r="O58">
        <v>147.58000200000001</v>
      </c>
      <c r="P58" s="9">
        <f t="shared" si="6"/>
        <v>-1</v>
      </c>
      <c r="Q58" s="10" t="str">
        <f t="shared" si="5"/>
        <v/>
      </c>
      <c r="R58" s="6"/>
      <c r="S58">
        <v>6022.8398440000001</v>
      </c>
      <c r="T58" s="28">
        <f t="shared" si="7"/>
        <v>-3.1844924482106432E-3</v>
      </c>
      <c r="V58" s="6"/>
      <c r="W58">
        <v>77.379997000000003</v>
      </c>
      <c r="X58" s="27">
        <f t="shared" si="8"/>
        <v>-1</v>
      </c>
      <c r="Y58" s="26" t="str">
        <f t="shared" si="9"/>
        <v/>
      </c>
      <c r="Z58" s="6"/>
      <c r="AA58">
        <v>519.59002699999996</v>
      </c>
      <c r="AB58" s="27">
        <f t="shared" si="10"/>
        <v>-1.289562857602657E-3</v>
      </c>
      <c r="AC58" s="26">
        <f t="shared" si="11"/>
        <v>-1.289562857602657E-3</v>
      </c>
      <c r="AD58" s="6"/>
      <c r="AE58">
        <v>1970.0200199999999</v>
      </c>
      <c r="AF58" s="27">
        <f t="shared" si="12"/>
        <v>-1</v>
      </c>
      <c r="AG58" s="27" t="str">
        <f t="shared" si="13"/>
        <v/>
      </c>
      <c r="AH58" s="6"/>
      <c r="AI58">
        <v>40.582698999999998</v>
      </c>
      <c r="AJ58" s="27">
        <f t="shared" si="14"/>
        <v>-1</v>
      </c>
      <c r="AK58" s="27" t="str">
        <f t="shared" si="15"/>
        <v/>
      </c>
    </row>
    <row r="59" spans="1:37" ht="14.5" x14ac:dyDescent="0.35">
      <c r="A59" s="1">
        <v>44719</v>
      </c>
      <c r="B59">
        <v>53.466599000000002</v>
      </c>
      <c r="D59" s="12">
        <f t="shared" si="0"/>
        <v>-7.4251964296351935E-6</v>
      </c>
      <c r="E59" s="13">
        <f t="shared" si="16"/>
        <v>-7.4251964296351935E-6</v>
      </c>
      <c r="F59" s="6"/>
      <c r="G59" t="s">
        <v>42</v>
      </c>
      <c r="H59" s="9">
        <f t="shared" si="1"/>
        <v>-1</v>
      </c>
      <c r="I59" s="10" t="str">
        <f t="shared" si="2"/>
        <v/>
      </c>
      <c r="J59" s="6"/>
      <c r="K59">
        <v>223.300003</v>
      </c>
      <c r="L59" s="9">
        <f t="shared" si="3"/>
        <v>-2.6197966508759999E-2</v>
      </c>
      <c r="M59" s="10">
        <f t="shared" si="4"/>
        <v>-2.6197966508759999E-2</v>
      </c>
      <c r="N59" s="6"/>
      <c r="O59" t="s">
        <v>42</v>
      </c>
      <c r="P59" s="9">
        <f t="shared" si="6"/>
        <v>-1</v>
      </c>
      <c r="Q59" s="10" t="str">
        <f t="shared" si="5"/>
        <v/>
      </c>
      <c r="R59" s="6"/>
      <c r="S59">
        <v>6003.6601559999999</v>
      </c>
      <c r="T59" s="28">
        <f t="shared" si="7"/>
        <v>-1.6123546384160165E-2</v>
      </c>
      <c r="V59" s="6"/>
      <c r="W59" t="s">
        <v>42</v>
      </c>
      <c r="X59" s="27">
        <f t="shared" si="8"/>
        <v>-1</v>
      </c>
      <c r="Y59" s="26" t="str">
        <f t="shared" si="9"/>
        <v/>
      </c>
      <c r="Z59" s="6"/>
      <c r="AA59">
        <v>518.919983</v>
      </c>
      <c r="AB59" s="27">
        <f t="shared" si="10"/>
        <v>-1</v>
      </c>
      <c r="AC59" s="26" t="str">
        <f t="shared" si="11"/>
        <v/>
      </c>
      <c r="AD59" s="6"/>
      <c r="AE59" t="s">
        <v>42</v>
      </c>
      <c r="AF59" s="27">
        <f t="shared" si="12"/>
        <v>-1</v>
      </c>
      <c r="AG59" s="27" t="str">
        <f t="shared" si="13"/>
        <v/>
      </c>
      <c r="AH59" s="6"/>
      <c r="AI59" t="s">
        <v>42</v>
      </c>
      <c r="AJ59" s="27">
        <f t="shared" si="14"/>
        <v>-1</v>
      </c>
      <c r="AK59" s="27" t="str">
        <f t="shared" si="15"/>
        <v/>
      </c>
    </row>
    <row r="60" spans="1:37" ht="14.5" x14ac:dyDescent="0.35">
      <c r="A60" s="1">
        <v>44720</v>
      </c>
      <c r="B60">
        <v>53.466202000000003</v>
      </c>
      <c r="D60" s="12">
        <f t="shared" si="0"/>
        <v>-1.3129789918572805E-5</v>
      </c>
      <c r="E60" s="13">
        <f t="shared" si="16"/>
        <v>-1.3129789918572805E-5</v>
      </c>
      <c r="F60" s="6"/>
      <c r="G60">
        <v>1060.630005</v>
      </c>
      <c r="H60" s="9">
        <f t="shared" si="1"/>
        <v>6.1286593527969287E-4</v>
      </c>
      <c r="I60" s="10">
        <f t="shared" si="2"/>
        <v>6.1286593527969287E-4</v>
      </c>
      <c r="J60" s="6"/>
      <c r="K60">
        <v>217.449997</v>
      </c>
      <c r="L60" s="9">
        <f t="shared" si="3"/>
        <v>-3.3754868251389236E-2</v>
      </c>
      <c r="M60" s="10">
        <f t="shared" si="4"/>
        <v>-3.3754868251389236E-2</v>
      </c>
      <c r="N60" s="6"/>
      <c r="O60">
        <v>147.78999300000001</v>
      </c>
      <c r="P60" s="9">
        <f t="shared" si="6"/>
        <v>-4.3980920954507438E-3</v>
      </c>
      <c r="Q60" s="10">
        <f t="shared" si="5"/>
        <v>-4.3980920954507438E-3</v>
      </c>
      <c r="R60" s="6"/>
      <c r="S60">
        <v>5906.8598629999997</v>
      </c>
      <c r="T60" s="28">
        <f t="shared" si="7"/>
        <v>-8.9383955645736305E-4</v>
      </c>
      <c r="V60" s="6"/>
      <c r="W60" t="s">
        <v>42</v>
      </c>
      <c r="X60" s="27">
        <f t="shared" si="8"/>
        <v>-1</v>
      </c>
      <c r="Y60" s="26" t="str">
        <f t="shared" si="9"/>
        <v/>
      </c>
      <c r="Z60" s="6"/>
      <c r="AA60" t="s">
        <v>42</v>
      </c>
      <c r="AB60" s="27">
        <f t="shared" si="10"/>
        <v>-1</v>
      </c>
      <c r="AC60" s="26" t="str">
        <f t="shared" si="11"/>
        <v/>
      </c>
      <c r="AD60" s="6"/>
      <c r="AE60">
        <v>1993.630005</v>
      </c>
      <c r="AF60" s="27">
        <f t="shared" si="12"/>
        <v>-9.5152916802132437E-3</v>
      </c>
      <c r="AG60" s="27">
        <f t="shared" si="13"/>
        <v>-9.5152916802132437E-3</v>
      </c>
      <c r="AH60" s="6"/>
      <c r="AI60">
        <v>41.054001</v>
      </c>
      <c r="AJ60" s="27">
        <f t="shared" si="14"/>
        <v>-1.5971671068064731E-2</v>
      </c>
      <c r="AK60" s="27">
        <f t="shared" si="15"/>
        <v>-1.5971671068064731E-2</v>
      </c>
    </row>
    <row r="61" spans="1:37" ht="14.5" x14ac:dyDescent="0.35">
      <c r="A61" s="1">
        <v>44721</v>
      </c>
      <c r="B61">
        <v>53.465499999999999</v>
      </c>
      <c r="D61" s="12">
        <f t="shared" si="0"/>
        <v>-1</v>
      </c>
      <c r="E61" s="13" t="str">
        <f t="shared" si="16"/>
        <v/>
      </c>
      <c r="F61" s="6"/>
      <c r="G61">
        <v>1061.280029</v>
      </c>
      <c r="H61" s="9">
        <f t="shared" si="1"/>
        <v>-1.1119148271469485E-3</v>
      </c>
      <c r="I61" s="10">
        <f t="shared" si="2"/>
        <v>-1.1119148271469485E-3</v>
      </c>
      <c r="J61" s="6"/>
      <c r="K61">
        <v>210.11000100000001</v>
      </c>
      <c r="L61" s="9">
        <f t="shared" si="3"/>
        <v>-4.0502569889569434E-2</v>
      </c>
      <c r="M61" s="10">
        <f t="shared" si="4"/>
        <v>-4.0502569889569434E-2</v>
      </c>
      <c r="N61" s="6"/>
      <c r="O61">
        <v>147.13999899999999</v>
      </c>
      <c r="P61" s="9">
        <f t="shared" si="6"/>
        <v>-2.5214122775683811E-2</v>
      </c>
      <c r="Q61" s="10">
        <f t="shared" si="5"/>
        <v>-2.5214122775683811E-2</v>
      </c>
      <c r="R61" s="6"/>
      <c r="S61">
        <v>5901.580078</v>
      </c>
      <c r="T61" s="28">
        <f t="shared" si="7"/>
        <v>7.1065615387215248E-3</v>
      </c>
      <c r="V61" s="6"/>
      <c r="W61">
        <v>80.480002999999996</v>
      </c>
      <c r="X61" s="27">
        <f t="shared" si="8"/>
        <v>-2.1371781012483267E-2</v>
      </c>
      <c r="Y61" s="26">
        <f t="shared" si="9"/>
        <v>-2.1371781012483267E-2</v>
      </c>
      <c r="Z61" s="6"/>
      <c r="AA61">
        <v>522.59002699999996</v>
      </c>
      <c r="AB61" s="27">
        <f t="shared" si="10"/>
        <v>-1</v>
      </c>
      <c r="AC61" s="26" t="str">
        <f t="shared" si="11"/>
        <v/>
      </c>
      <c r="AD61" s="6"/>
      <c r="AE61">
        <v>1974.660034</v>
      </c>
      <c r="AF61" s="27">
        <f t="shared" si="12"/>
        <v>-2.071243824039436E-2</v>
      </c>
      <c r="AG61" s="27">
        <f t="shared" si="13"/>
        <v>-2.071243824039436E-2</v>
      </c>
      <c r="AH61" s="6"/>
      <c r="AI61">
        <v>40.398299999999999</v>
      </c>
      <c r="AJ61" s="27">
        <f t="shared" si="14"/>
        <v>-2.6107509474408562E-2</v>
      </c>
      <c r="AK61" s="27">
        <f t="shared" si="15"/>
        <v>-2.6107509474408562E-2</v>
      </c>
    </row>
    <row r="62" spans="1:37" ht="14.5" x14ac:dyDescent="0.35">
      <c r="A62" s="1">
        <v>44722</v>
      </c>
      <c r="B62" t="s">
        <v>42</v>
      </c>
      <c r="D62" s="12">
        <f t="shared" si="0"/>
        <v>-1</v>
      </c>
      <c r="E62" s="13" t="str">
        <f t="shared" si="16"/>
        <v/>
      </c>
      <c r="F62" s="6"/>
      <c r="G62">
        <v>1060.099976</v>
      </c>
      <c r="H62" s="9">
        <f t="shared" si="1"/>
        <v>-4.9053863953670289E-4</v>
      </c>
      <c r="I62" s="10">
        <f t="shared" si="2"/>
        <v>-4.9053863953670289E-4</v>
      </c>
      <c r="J62" s="6"/>
      <c r="K62">
        <v>201.60000600000001</v>
      </c>
      <c r="L62" s="9">
        <f t="shared" si="3"/>
        <v>-7.9861158337466067E-3</v>
      </c>
      <c r="M62" s="10">
        <f t="shared" si="4"/>
        <v>-7.9861158337466067E-3</v>
      </c>
      <c r="N62" s="6"/>
      <c r="O62">
        <v>143.429993</v>
      </c>
      <c r="P62" s="9">
        <f t="shared" si="6"/>
        <v>-2.4192889697763606E-2</v>
      </c>
      <c r="Q62" s="10">
        <f t="shared" si="5"/>
        <v>-2.4192889697763606E-2</v>
      </c>
      <c r="R62" s="6"/>
      <c r="S62">
        <v>5943.5200199999999</v>
      </c>
      <c r="T62" s="28">
        <f t="shared" si="7"/>
        <v>-1.084040699504531E-2</v>
      </c>
      <c r="V62" s="6"/>
      <c r="W62">
        <v>78.760002</v>
      </c>
      <c r="X62" s="27">
        <f t="shared" si="8"/>
        <v>-1.5997993499289147E-2</v>
      </c>
      <c r="Y62" s="26">
        <f t="shared" si="9"/>
        <v>-1.5997993499289147E-2</v>
      </c>
      <c r="Z62" s="6"/>
      <c r="AA62" t="s">
        <v>42</v>
      </c>
      <c r="AB62" s="27">
        <f t="shared" si="10"/>
        <v>-1</v>
      </c>
      <c r="AC62" s="26" t="str">
        <f t="shared" si="11"/>
        <v/>
      </c>
      <c r="AD62" s="6"/>
      <c r="AE62">
        <v>1933.76001</v>
      </c>
      <c r="AF62" s="27">
        <f t="shared" si="12"/>
        <v>-2.9062526223199773E-2</v>
      </c>
      <c r="AG62" s="27">
        <f t="shared" si="13"/>
        <v>-2.9062526223199773E-2</v>
      </c>
      <c r="AH62" s="6"/>
      <c r="AI62">
        <v>39.343601</v>
      </c>
      <c r="AJ62" s="27">
        <f t="shared" si="14"/>
        <v>-3.5314510230011788E-2</v>
      </c>
      <c r="AK62" s="27">
        <f t="shared" si="15"/>
        <v>-3.5314510230011788E-2</v>
      </c>
    </row>
    <row r="63" spans="1:37" ht="14.5" x14ac:dyDescent="0.35">
      <c r="A63" s="1">
        <v>44725</v>
      </c>
      <c r="B63">
        <v>53.463402000000002</v>
      </c>
      <c r="D63" s="12">
        <f t="shared" si="0"/>
        <v>-7.5004579769100442E-6</v>
      </c>
      <c r="E63" s="13">
        <f t="shared" si="16"/>
        <v>-7.5004579769100442E-6</v>
      </c>
      <c r="F63" s="6"/>
      <c r="G63">
        <v>1059.579956</v>
      </c>
      <c r="H63" s="9">
        <f t="shared" si="1"/>
        <v>-3.0105712947254824E-3</v>
      </c>
      <c r="I63" s="10">
        <f t="shared" si="2"/>
        <v>-3.0105712947254824E-3</v>
      </c>
      <c r="J63" s="6"/>
      <c r="K63">
        <v>199.990005</v>
      </c>
      <c r="L63" s="9">
        <f t="shared" si="3"/>
        <v>1.8850892073331401E-2</v>
      </c>
      <c r="M63" s="10">
        <f t="shared" si="4"/>
        <v>1.8850892073331401E-2</v>
      </c>
      <c r="N63" s="6"/>
      <c r="O63">
        <v>139.96000699999999</v>
      </c>
      <c r="P63" s="9">
        <f t="shared" si="6"/>
        <v>-4.7227784148367348E-2</v>
      </c>
      <c r="Q63" s="10">
        <f t="shared" si="5"/>
        <v>-4.7227784148367348E-2</v>
      </c>
      <c r="R63" s="6"/>
      <c r="S63">
        <v>5879.0898440000001</v>
      </c>
      <c r="T63" s="28">
        <f t="shared" si="7"/>
        <v>2.0580753689865985E-4</v>
      </c>
      <c r="V63" s="6"/>
      <c r="W63">
        <v>77.5</v>
      </c>
      <c r="X63" s="27">
        <f t="shared" si="8"/>
        <v>-5.1096761290322534E-2</v>
      </c>
      <c r="Y63" s="26">
        <f t="shared" si="9"/>
        <v>-5.1096761290322534E-2</v>
      </c>
      <c r="Z63" s="6"/>
      <c r="AA63">
        <v>488.27999899999998</v>
      </c>
      <c r="AB63" s="27">
        <f t="shared" si="10"/>
        <v>-5.8450088183931527E-2</v>
      </c>
      <c r="AC63" s="26">
        <f t="shared" si="11"/>
        <v>-5.8450088183931527E-2</v>
      </c>
      <c r="AD63" s="6"/>
      <c r="AE63">
        <v>1877.5600589999999</v>
      </c>
      <c r="AF63" s="27">
        <f t="shared" si="12"/>
        <v>-4.331689876451502E-2</v>
      </c>
      <c r="AG63" s="27">
        <f t="shared" si="13"/>
        <v>-4.331689876451502E-2</v>
      </c>
      <c r="AH63" s="6"/>
      <c r="AI63">
        <v>37.954200999999998</v>
      </c>
      <c r="AJ63" s="27">
        <f t="shared" si="14"/>
        <v>-5.0144699397044357E-2</v>
      </c>
      <c r="AK63" s="27">
        <f t="shared" si="15"/>
        <v>-5.0144699397044357E-2</v>
      </c>
    </row>
    <row r="64" spans="1:37" ht="14.5" x14ac:dyDescent="0.35">
      <c r="A64" s="1">
        <v>44726</v>
      </c>
      <c r="B64">
        <v>53.463000999999998</v>
      </c>
      <c r="D64" s="12">
        <f t="shared" si="0"/>
        <v>-9.3335576130080461E-6</v>
      </c>
      <c r="E64" s="13">
        <f t="shared" si="16"/>
        <v>-9.3335576130080461E-6</v>
      </c>
      <c r="F64" s="6"/>
      <c r="G64">
        <v>1056.3900149999999</v>
      </c>
      <c r="H64" s="9">
        <f t="shared" si="1"/>
        <v>-1.2258800079627655E-2</v>
      </c>
      <c r="I64" s="10">
        <f t="shared" si="2"/>
        <v>-1.2258800079627655E-2</v>
      </c>
      <c r="J64" s="6"/>
      <c r="K64">
        <v>203.759995</v>
      </c>
      <c r="L64" s="9">
        <f t="shared" si="3"/>
        <v>-2.9495461069284006E-2</v>
      </c>
      <c r="M64" s="10">
        <f t="shared" si="4"/>
        <v>-2.9495461069284006E-2</v>
      </c>
      <c r="N64" s="6"/>
      <c r="O64">
        <v>133.35000600000001</v>
      </c>
      <c r="P64" s="9">
        <f t="shared" si="6"/>
        <v>-5.6242967098179206E-3</v>
      </c>
      <c r="Q64" s="10">
        <f t="shared" si="5"/>
        <v>-5.6242967098179206E-3</v>
      </c>
      <c r="R64" s="6"/>
      <c r="S64">
        <v>5880.2998049999997</v>
      </c>
      <c r="T64" s="28">
        <f t="shared" si="7"/>
        <v>6.4554465348387923E-3</v>
      </c>
      <c r="V64" s="6"/>
      <c r="W64">
        <v>73.540001000000004</v>
      </c>
      <c r="X64" s="27">
        <f t="shared" si="8"/>
        <v>-1.7813407427068259E-2</v>
      </c>
      <c r="Y64" s="26">
        <f t="shared" si="9"/>
        <v>-1.7813407427068259E-2</v>
      </c>
      <c r="Z64" s="6"/>
      <c r="AA64">
        <v>459.73998999999998</v>
      </c>
      <c r="AB64" s="27">
        <f t="shared" si="10"/>
        <v>-6.1338518757091251E-3</v>
      </c>
      <c r="AC64" s="26">
        <f t="shared" si="11"/>
        <v>-6.1338518757091251E-3</v>
      </c>
      <c r="AD64" s="6"/>
      <c r="AE64">
        <v>1796.2299800000001</v>
      </c>
      <c r="AF64" s="27">
        <f t="shared" si="12"/>
        <v>-2.2881173601166879E-3</v>
      </c>
      <c r="AG64" s="27">
        <f t="shared" si="13"/>
        <v>-2.2881173601166879E-3</v>
      </c>
      <c r="AH64" s="6"/>
      <c r="AI64">
        <v>36.050998999999997</v>
      </c>
      <c r="AJ64" s="27">
        <f t="shared" si="14"/>
        <v>1.2010762864019973E-3</v>
      </c>
      <c r="AK64" s="27">
        <f t="shared" si="15"/>
        <v>1.2010762864019973E-3</v>
      </c>
    </row>
    <row r="65" spans="1:37" ht="14.5" x14ac:dyDescent="0.35">
      <c r="A65" s="1">
        <v>44727</v>
      </c>
      <c r="B65">
        <v>53.462502000000001</v>
      </c>
      <c r="D65" s="12">
        <f t="shared" si="0"/>
        <v>-9.3523494280605759E-6</v>
      </c>
      <c r="E65" s="13">
        <f t="shared" si="16"/>
        <v>-9.3523494280605759E-6</v>
      </c>
      <c r="F65" s="6"/>
      <c r="G65">
        <v>1043.4399410000001</v>
      </c>
      <c r="H65" s="9">
        <f t="shared" si="1"/>
        <v>-9.2673479517496812E-3</v>
      </c>
      <c r="I65" s="10">
        <f t="shared" si="2"/>
        <v>-9.2673479517496812E-3</v>
      </c>
      <c r="J65" s="6"/>
      <c r="K65">
        <v>197.75</v>
      </c>
      <c r="L65" s="9">
        <f t="shared" si="3"/>
        <v>4.9557319848293289E-3</v>
      </c>
      <c r="M65" s="10">
        <f t="shared" si="4"/>
        <v>4.9557319848293289E-3</v>
      </c>
      <c r="N65" s="6"/>
      <c r="O65">
        <v>132.60000600000001</v>
      </c>
      <c r="P65" s="9">
        <f t="shared" si="6"/>
        <v>1.3574132115800662E-3</v>
      </c>
      <c r="Q65" s="10">
        <f t="shared" si="5"/>
        <v>1.3574132115800662E-3</v>
      </c>
      <c r="R65" s="6"/>
      <c r="S65">
        <v>5918.2597660000001</v>
      </c>
      <c r="T65" s="28">
        <f t="shared" si="7"/>
        <v>3.1587060452121465E-2</v>
      </c>
      <c r="V65" s="6"/>
      <c r="W65">
        <v>72.230002999999996</v>
      </c>
      <c r="X65" s="27">
        <f t="shared" si="8"/>
        <v>1.8413331645576656E-2</v>
      </c>
      <c r="Y65" s="26">
        <f t="shared" si="9"/>
        <v>1.8413331645576656E-2</v>
      </c>
      <c r="Z65" s="6"/>
      <c r="AA65">
        <v>456.92001299999998</v>
      </c>
      <c r="AB65" s="27">
        <f t="shared" si="10"/>
        <v>-1</v>
      </c>
      <c r="AC65" s="26" t="str">
        <f t="shared" si="11"/>
        <v/>
      </c>
      <c r="AD65" s="6"/>
      <c r="AE65">
        <v>1792.119995</v>
      </c>
      <c r="AF65" s="27">
        <f t="shared" si="12"/>
        <v>2.6225922444439886E-2</v>
      </c>
      <c r="AG65" s="27">
        <f t="shared" si="13"/>
        <v>2.6225922444439886E-2</v>
      </c>
      <c r="AH65" s="6"/>
      <c r="AI65">
        <v>36.094298999999999</v>
      </c>
      <c r="AJ65" s="27">
        <f t="shared" si="14"/>
        <v>1.8127544186410265E-2</v>
      </c>
      <c r="AK65" s="27">
        <f t="shared" si="15"/>
        <v>1.8127544186410265E-2</v>
      </c>
    </row>
    <row r="66" spans="1:37" ht="14.5" x14ac:dyDescent="0.35">
      <c r="A66" s="1">
        <v>44728</v>
      </c>
      <c r="B66">
        <v>53.462001999999998</v>
      </c>
      <c r="D66" s="12">
        <f t="shared" si="0"/>
        <v>-1</v>
      </c>
      <c r="E66" s="13" t="str">
        <f t="shared" si="16"/>
        <v/>
      </c>
      <c r="F66" s="6"/>
      <c r="G66">
        <v>1033.7700199999999</v>
      </c>
      <c r="H66" s="9">
        <f t="shared" si="1"/>
        <v>-1.0447962110565381E-3</v>
      </c>
      <c r="I66" s="10">
        <f t="shared" si="2"/>
        <v>-1.0447962110565381E-3</v>
      </c>
      <c r="J66" s="6"/>
      <c r="K66">
        <v>198.729996</v>
      </c>
      <c r="L66" s="9">
        <f t="shared" si="3"/>
        <v>-1</v>
      </c>
      <c r="M66" s="10" t="str">
        <f t="shared" si="4"/>
        <v/>
      </c>
      <c r="N66" s="6"/>
      <c r="O66">
        <v>132.779999</v>
      </c>
      <c r="P66" s="9">
        <f t="shared" si="6"/>
        <v>-2.7112562337043001E-2</v>
      </c>
      <c r="Q66" s="10">
        <f t="shared" si="5"/>
        <v>-2.7112562337043001E-2</v>
      </c>
      <c r="R66" s="6"/>
      <c r="S66">
        <v>6105.2001950000003</v>
      </c>
      <c r="T66" s="28">
        <f t="shared" si="7"/>
        <v>-9.9100648738026159E-4</v>
      </c>
      <c r="V66" s="6"/>
      <c r="W66">
        <v>73.559997999999993</v>
      </c>
      <c r="X66" s="27">
        <f t="shared" si="8"/>
        <v>-3.5345283723362757E-2</v>
      </c>
      <c r="Y66" s="26">
        <f t="shared" si="9"/>
        <v>-3.5345283723362757E-2</v>
      </c>
      <c r="Z66" s="6"/>
      <c r="AA66" t="s">
        <v>42</v>
      </c>
      <c r="AB66" s="27">
        <f t="shared" si="10"/>
        <v>-1</v>
      </c>
      <c r="AC66" s="26" t="str">
        <f t="shared" si="11"/>
        <v/>
      </c>
      <c r="AD66" s="6"/>
      <c r="AE66">
        <v>1839.119995</v>
      </c>
      <c r="AF66" s="27">
        <f t="shared" si="12"/>
        <v>-5.5537439252298461E-2</v>
      </c>
      <c r="AG66" s="27">
        <f t="shared" si="13"/>
        <v>-5.5537439252298461E-2</v>
      </c>
      <c r="AH66" s="6"/>
      <c r="AI66">
        <v>36.748600000000003</v>
      </c>
      <c r="AJ66" s="27">
        <f t="shared" si="14"/>
        <v>-4.9612774364193458E-2</v>
      </c>
      <c r="AK66" s="27">
        <f t="shared" si="15"/>
        <v>-4.9612774364193458E-2</v>
      </c>
    </row>
    <row r="67" spans="1:37" ht="14.5" x14ac:dyDescent="0.35">
      <c r="A67" s="1">
        <v>44729</v>
      </c>
      <c r="B67" t="s">
        <v>42</v>
      </c>
      <c r="D67" s="12">
        <f t="shared" si="0"/>
        <v>-1</v>
      </c>
      <c r="E67" s="13" t="str">
        <f t="shared" si="16"/>
        <v/>
      </c>
      <c r="F67" s="6"/>
      <c r="G67">
        <v>1032.6899410000001</v>
      </c>
      <c r="H67" s="9">
        <f t="shared" si="1"/>
        <v>-2.8468767664699174E-3</v>
      </c>
      <c r="I67" s="10">
        <f t="shared" si="2"/>
        <v>-2.8468767664699174E-3</v>
      </c>
      <c r="J67" s="6"/>
      <c r="K67" t="s">
        <v>42</v>
      </c>
      <c r="L67" s="9">
        <f t="shared" si="3"/>
        <v>-1</v>
      </c>
      <c r="M67" s="10" t="str">
        <f t="shared" si="4"/>
        <v/>
      </c>
      <c r="N67" s="6"/>
      <c r="O67">
        <v>129.179993</v>
      </c>
      <c r="P67" s="9">
        <f t="shared" si="6"/>
        <v>2.3068672871038091E-2</v>
      </c>
      <c r="Q67" s="10">
        <f t="shared" si="5"/>
        <v>2.3068672871038091E-2</v>
      </c>
      <c r="R67" s="6"/>
      <c r="S67">
        <v>6099.1499020000001</v>
      </c>
      <c r="T67" s="28">
        <f t="shared" si="7"/>
        <v>-1.2700124155761482E-2</v>
      </c>
      <c r="V67" s="6"/>
      <c r="W67">
        <v>70.959998999999996</v>
      </c>
      <c r="X67" s="27">
        <f t="shared" si="8"/>
        <v>4.1431835420403608E-2</v>
      </c>
      <c r="Y67" s="26">
        <f t="shared" si="9"/>
        <v>4.1431835420403608E-2</v>
      </c>
      <c r="Z67" s="6"/>
      <c r="AA67">
        <v>447.98001099999999</v>
      </c>
      <c r="AB67" s="27">
        <f t="shared" si="10"/>
        <v>1.18308626944525E-3</v>
      </c>
      <c r="AC67" s="26">
        <f t="shared" si="11"/>
        <v>1.18308626944525E-3</v>
      </c>
      <c r="AD67" s="6"/>
      <c r="AE67">
        <v>1736.9799800000001</v>
      </c>
      <c r="AF67" s="27">
        <f t="shared" si="12"/>
        <v>2.0564411456256385E-2</v>
      </c>
      <c r="AG67" s="27">
        <f t="shared" si="13"/>
        <v>2.0564411456256385E-2</v>
      </c>
      <c r="AH67" s="6"/>
      <c r="AI67">
        <v>34.925400000000003</v>
      </c>
      <c r="AJ67" s="27">
        <f t="shared" si="14"/>
        <v>1.146154374753036E-2</v>
      </c>
      <c r="AK67" s="27">
        <f t="shared" si="15"/>
        <v>1.146154374753036E-2</v>
      </c>
    </row>
    <row r="68" spans="1:37" ht="14.5" x14ac:dyDescent="0.35">
      <c r="A68" s="1">
        <v>44732</v>
      </c>
      <c r="B68">
        <v>53.459899999999998</v>
      </c>
      <c r="D68" s="12">
        <f t="shared" si="0"/>
        <v>-1.1204659941264781E-5</v>
      </c>
      <c r="E68" s="13">
        <f t="shared" si="16"/>
        <v>-1.1204659941264781E-5</v>
      </c>
      <c r="F68" s="6"/>
      <c r="G68">
        <v>1029.75</v>
      </c>
      <c r="H68" s="9">
        <f t="shared" si="1"/>
        <v>1.9441612041691009E-5</v>
      </c>
      <c r="I68" s="10">
        <f t="shared" si="2"/>
        <v>1.9441612041691009E-5</v>
      </c>
      <c r="J68" s="6"/>
      <c r="K68">
        <v>203.61999499999999</v>
      </c>
      <c r="L68" s="9">
        <f t="shared" si="3"/>
        <v>2.3082261641349357E-3</v>
      </c>
      <c r="M68" s="10">
        <f t="shared" si="4"/>
        <v>2.3082261641349357E-3</v>
      </c>
      <c r="N68" s="6"/>
      <c r="O68">
        <v>132.16000399999999</v>
      </c>
      <c r="P68" s="9">
        <f t="shared" si="6"/>
        <v>-2.3456264423234955E-3</v>
      </c>
      <c r="Q68" s="10">
        <f t="shared" si="5"/>
        <v>-2.3456264423234955E-3</v>
      </c>
      <c r="R68" s="6"/>
      <c r="S68">
        <v>6021.6899409999996</v>
      </c>
      <c r="T68" s="28">
        <f t="shared" si="7"/>
        <v>-1.5767950181810892E-2</v>
      </c>
      <c r="V68" s="6"/>
      <c r="W68">
        <v>73.900002000000001</v>
      </c>
      <c r="X68" s="27">
        <f t="shared" si="8"/>
        <v>2.4627861309124126E-2</v>
      </c>
      <c r="Y68" s="26">
        <f t="shared" si="9"/>
        <v>2.4627861309124126E-2</v>
      </c>
      <c r="Z68" s="6"/>
      <c r="AA68">
        <v>448.51001000000002</v>
      </c>
      <c r="AB68" s="27">
        <f t="shared" si="10"/>
        <v>3.6097303603101281E-2</v>
      </c>
      <c r="AC68" s="26">
        <f t="shared" si="11"/>
        <v>3.6097303603101281E-2</v>
      </c>
      <c r="AD68" s="6"/>
      <c r="AE68">
        <v>1772.6999510000001</v>
      </c>
      <c r="AF68" s="27">
        <f t="shared" si="12"/>
        <v>-6.1318865574899635E-3</v>
      </c>
      <c r="AG68" s="27">
        <f t="shared" si="13"/>
        <v>-6.1318865574899635E-3</v>
      </c>
      <c r="AH68" s="6"/>
      <c r="AI68">
        <v>35.325699</v>
      </c>
      <c r="AJ68" s="27">
        <f t="shared" si="14"/>
        <v>2.4469522881911069E-2</v>
      </c>
      <c r="AK68" s="27">
        <f t="shared" si="15"/>
        <v>2.4469522881911069E-2</v>
      </c>
    </row>
    <row r="69" spans="1:37" ht="14.5" x14ac:dyDescent="0.35">
      <c r="A69" s="1">
        <v>44733</v>
      </c>
      <c r="B69">
        <v>53.459301000000004</v>
      </c>
      <c r="D69" s="12">
        <f t="shared" si="0"/>
        <v>-1.1279608762659246E-5</v>
      </c>
      <c r="E69" s="13">
        <f t="shared" si="16"/>
        <v>-1.1279608762659246E-5</v>
      </c>
      <c r="F69" s="6"/>
      <c r="G69">
        <v>1029.7700199999999</v>
      </c>
      <c r="H69" s="9">
        <f t="shared" si="1"/>
        <v>-3.8940830691497176E-3</v>
      </c>
      <c r="I69" s="10">
        <f t="shared" si="2"/>
        <v>-3.8940830691497176E-3</v>
      </c>
      <c r="J69" s="6"/>
      <c r="K69">
        <v>204.08999600000001</v>
      </c>
      <c r="L69" s="9">
        <f t="shared" si="3"/>
        <v>-1</v>
      </c>
      <c r="M69" s="10" t="str">
        <f t="shared" si="4"/>
        <v/>
      </c>
      <c r="N69" s="6"/>
      <c r="O69">
        <v>131.85000600000001</v>
      </c>
      <c r="P69" s="9">
        <f t="shared" si="6"/>
        <v>-1.6685702691587008E-3</v>
      </c>
      <c r="Q69" s="10">
        <f t="shared" si="5"/>
        <v>-1.6685702691587008E-3</v>
      </c>
      <c r="R69" s="6"/>
      <c r="S69">
        <v>5926.7402339999999</v>
      </c>
      <c r="T69" s="28">
        <f t="shared" si="7"/>
        <v>-8.628712239929762E-3</v>
      </c>
      <c r="V69" s="6"/>
      <c r="W69">
        <v>75.720000999999996</v>
      </c>
      <c r="X69" s="27">
        <f t="shared" si="8"/>
        <v>-6.9994584389927502E-3</v>
      </c>
      <c r="Y69" s="26">
        <f t="shared" si="9"/>
        <v>-6.9994584389927502E-3</v>
      </c>
      <c r="Z69" s="6"/>
      <c r="AA69">
        <v>464.70001200000002</v>
      </c>
      <c r="AB69" s="27">
        <f t="shared" si="10"/>
        <v>-7.7254721482555508E-3</v>
      </c>
      <c r="AC69" s="26">
        <f t="shared" si="11"/>
        <v>-7.7254721482555508E-3</v>
      </c>
      <c r="AD69" s="6"/>
      <c r="AE69">
        <v>1761.829956</v>
      </c>
      <c r="AF69" s="27">
        <f t="shared" si="12"/>
        <v>2.1772807795305785E-2</v>
      </c>
      <c r="AG69" s="27">
        <f t="shared" si="13"/>
        <v>2.1772807795305785E-2</v>
      </c>
      <c r="AH69" s="6"/>
      <c r="AI69">
        <v>36.190102000000003</v>
      </c>
      <c r="AJ69" s="27">
        <f t="shared" si="14"/>
        <v>-6.3995951158137736E-3</v>
      </c>
      <c r="AK69" s="27">
        <f t="shared" si="15"/>
        <v>-6.3995951158137736E-3</v>
      </c>
    </row>
    <row r="70" spans="1:37" ht="14.5" x14ac:dyDescent="0.35">
      <c r="A70" s="1">
        <v>44734</v>
      </c>
      <c r="B70">
        <v>53.458697999999998</v>
      </c>
      <c r="D70" s="12">
        <f t="shared" si="0"/>
        <v>-7.4075878165786225E-6</v>
      </c>
      <c r="E70" s="13">
        <f t="shared" si="16"/>
        <v>-7.4075878165786225E-6</v>
      </c>
      <c r="F70" s="6"/>
      <c r="G70">
        <v>1025.76001</v>
      </c>
      <c r="H70" s="9">
        <f t="shared" si="1"/>
        <v>-6.8237306307160047E-4</v>
      </c>
      <c r="I70" s="10">
        <f t="shared" si="2"/>
        <v>-6.8237306307160047E-4</v>
      </c>
      <c r="J70" s="6"/>
      <c r="K70" t="s">
        <v>42</v>
      </c>
      <c r="L70" s="9">
        <f t="shared" si="3"/>
        <v>-1</v>
      </c>
      <c r="M70" s="10" t="str">
        <f t="shared" si="4"/>
        <v/>
      </c>
      <c r="N70" s="6"/>
      <c r="O70">
        <v>131.63000500000001</v>
      </c>
      <c r="P70" s="9">
        <f t="shared" si="6"/>
        <v>3.0382890284005756E-4</v>
      </c>
      <c r="Q70" s="10">
        <f t="shared" si="5"/>
        <v>3.0382890284005756E-4</v>
      </c>
      <c r="R70" s="6"/>
      <c r="S70">
        <v>5875.6000979999999</v>
      </c>
      <c r="T70" s="28">
        <f t="shared" si="7"/>
        <v>1.8445755359846851E-2</v>
      </c>
      <c r="V70" s="6"/>
      <c r="W70">
        <v>75.190002000000007</v>
      </c>
      <c r="X70" s="27">
        <f t="shared" si="8"/>
        <v>-1</v>
      </c>
      <c r="Y70" s="26" t="str">
        <f t="shared" si="9"/>
        <v/>
      </c>
      <c r="Z70" s="6"/>
      <c r="AA70">
        <v>461.10998499999999</v>
      </c>
      <c r="AB70" s="27">
        <f t="shared" si="10"/>
        <v>-1</v>
      </c>
      <c r="AC70" s="26" t="str">
        <f t="shared" si="11"/>
        <v/>
      </c>
      <c r="AD70" s="6"/>
      <c r="AE70">
        <v>1800.1899410000001</v>
      </c>
      <c r="AF70" s="27">
        <f t="shared" si="12"/>
        <v>-3.843994926533232E-3</v>
      </c>
      <c r="AG70" s="27">
        <f t="shared" si="13"/>
        <v>-3.843994926533232E-3</v>
      </c>
      <c r="AH70" s="6"/>
      <c r="AI70">
        <v>35.958500000000001</v>
      </c>
      <c r="AJ70" s="27">
        <f t="shared" si="14"/>
        <v>-1</v>
      </c>
      <c r="AK70" s="27" t="str">
        <f t="shared" si="15"/>
        <v/>
      </c>
    </row>
    <row r="71" spans="1:37" ht="14.5" x14ac:dyDescent="0.35">
      <c r="A71" s="1">
        <v>44735</v>
      </c>
      <c r="B71">
        <v>53.458302000000003</v>
      </c>
      <c r="D71" s="12">
        <f t="shared" si="0"/>
        <v>-1</v>
      </c>
      <c r="E71" s="13" t="str">
        <f t="shared" si="16"/>
        <v/>
      </c>
      <c r="F71" s="6"/>
      <c r="G71">
        <v>1025.0600589999999</v>
      </c>
      <c r="H71" s="9">
        <f t="shared" si="1"/>
        <v>-1</v>
      </c>
      <c r="I71" s="10" t="str">
        <f t="shared" si="2"/>
        <v/>
      </c>
      <c r="J71" s="6"/>
      <c r="K71">
        <v>213.58000200000001</v>
      </c>
      <c r="L71" s="9">
        <f t="shared" si="3"/>
        <v>-3.3711068136425821E-3</v>
      </c>
      <c r="M71" s="10">
        <f t="shared" si="4"/>
        <v>-3.3711068136425821E-3</v>
      </c>
      <c r="N71" s="6"/>
      <c r="O71">
        <v>131.66999799999999</v>
      </c>
      <c r="P71" s="9">
        <f t="shared" si="6"/>
        <v>-6.3036531678232356E-3</v>
      </c>
      <c r="Q71" s="10">
        <f t="shared" si="5"/>
        <v>-6.3036531678232356E-3</v>
      </c>
      <c r="R71" s="6"/>
      <c r="S71">
        <v>5983.9799800000001</v>
      </c>
      <c r="T71" s="28">
        <f t="shared" si="7"/>
        <v>-7.9876353463330266E-4</v>
      </c>
      <c r="V71" s="6"/>
      <c r="W71" t="s">
        <v>42</v>
      </c>
      <c r="X71" s="27">
        <f t="shared" si="8"/>
        <v>-1</v>
      </c>
      <c r="Y71" s="26" t="str">
        <f t="shared" si="9"/>
        <v/>
      </c>
      <c r="Z71" s="6"/>
      <c r="AA71" t="s">
        <v>42</v>
      </c>
      <c r="AB71" s="27">
        <f t="shared" si="10"/>
        <v>-1</v>
      </c>
      <c r="AC71" s="26" t="str">
        <f t="shared" si="11"/>
        <v/>
      </c>
      <c r="AD71" s="6"/>
      <c r="AE71">
        <v>1793.2700199999999</v>
      </c>
      <c r="AF71" s="27">
        <f t="shared" si="12"/>
        <v>-1</v>
      </c>
      <c r="AG71" s="27" t="str">
        <f t="shared" si="13"/>
        <v/>
      </c>
      <c r="AH71" s="6"/>
      <c r="AI71" t="s">
        <v>42</v>
      </c>
      <c r="AJ71" s="27">
        <f t="shared" si="14"/>
        <v>-1</v>
      </c>
      <c r="AK71" s="27" t="str">
        <f t="shared" si="15"/>
        <v/>
      </c>
    </row>
    <row r="72" spans="1:37" ht="14.5" x14ac:dyDescent="0.35">
      <c r="A72" s="1">
        <v>44736</v>
      </c>
      <c r="B72" t="s">
        <v>42</v>
      </c>
      <c r="D72" s="12">
        <f t="shared" si="0"/>
        <v>-1</v>
      </c>
      <c r="E72" s="13" t="str">
        <f t="shared" si="16"/>
        <v/>
      </c>
      <c r="F72" s="6"/>
      <c r="G72" t="s">
        <v>42</v>
      </c>
      <c r="H72" s="9">
        <f t="shared" si="1"/>
        <v>-1</v>
      </c>
      <c r="I72" s="10" t="str">
        <f t="shared" si="2"/>
        <v/>
      </c>
      <c r="J72" s="6"/>
      <c r="K72">
        <v>212.86000100000001</v>
      </c>
      <c r="L72" s="9">
        <f t="shared" si="3"/>
        <v>-2.4429188084049782E-2</v>
      </c>
      <c r="M72" s="10">
        <f t="shared" si="4"/>
        <v>-2.4429188084049782E-2</v>
      </c>
      <c r="N72" s="6"/>
      <c r="O72">
        <v>130.83999600000001</v>
      </c>
      <c r="P72" s="9">
        <f t="shared" si="6"/>
        <v>1.4215844213263218E-2</v>
      </c>
      <c r="Q72" s="10">
        <f t="shared" si="5"/>
        <v>1.4215844213263218E-2</v>
      </c>
      <c r="R72" s="6"/>
      <c r="S72">
        <v>5979.2001950000003</v>
      </c>
      <c r="T72" s="28">
        <f t="shared" si="7"/>
        <v>-1.788369205122432E-2</v>
      </c>
      <c r="V72" s="6"/>
      <c r="W72">
        <v>76.949996999999996</v>
      </c>
      <c r="X72" s="27">
        <f t="shared" si="8"/>
        <v>1.8583496500981109E-2</v>
      </c>
      <c r="Y72" s="26">
        <f t="shared" si="9"/>
        <v>1.8583496500981109E-2</v>
      </c>
      <c r="Z72" s="6"/>
      <c r="AA72">
        <v>480.540009</v>
      </c>
      <c r="AB72" s="27">
        <f t="shared" si="10"/>
        <v>-1</v>
      </c>
      <c r="AC72" s="26" t="str">
        <f t="shared" si="11"/>
        <v/>
      </c>
      <c r="AD72" s="6"/>
      <c r="AE72" t="s">
        <v>42</v>
      </c>
      <c r="AF72" s="27">
        <f t="shared" si="12"/>
        <v>-1</v>
      </c>
      <c r="AG72" s="27" t="str">
        <f t="shared" si="13"/>
        <v/>
      </c>
      <c r="AH72" s="6"/>
      <c r="AI72">
        <v>37.633999000000003</v>
      </c>
      <c r="AJ72" s="27">
        <f t="shared" si="14"/>
        <v>-3.2416964245549598E-3</v>
      </c>
      <c r="AK72" s="27">
        <f t="shared" si="15"/>
        <v>-3.2416964245549598E-3</v>
      </c>
    </row>
    <row r="73" spans="1:37" ht="14.5" x14ac:dyDescent="0.35">
      <c r="A73" s="1">
        <v>44739</v>
      </c>
      <c r="B73">
        <v>53.456699</v>
      </c>
      <c r="D73" s="12">
        <f t="shared" si="0"/>
        <v>-9.3346579443262429E-6</v>
      </c>
      <c r="E73" s="13">
        <f t="shared" si="16"/>
        <v>-9.3346579443262429E-6</v>
      </c>
      <c r="F73" s="6"/>
      <c r="G73">
        <v>1027.5500489999999</v>
      </c>
      <c r="H73" s="9">
        <f t="shared" si="1"/>
        <v>1.1190715246611905E-3</v>
      </c>
      <c r="I73" s="10">
        <f t="shared" si="2"/>
        <v>1.1190715246611905E-3</v>
      </c>
      <c r="J73" s="6"/>
      <c r="K73">
        <v>207.66000399999999</v>
      </c>
      <c r="L73" s="9">
        <f t="shared" si="3"/>
        <v>2.4559086496020971E-3</v>
      </c>
      <c r="M73" s="10">
        <f t="shared" si="4"/>
        <v>2.4559086496020971E-3</v>
      </c>
      <c r="N73" s="6"/>
      <c r="O73">
        <v>132.699997</v>
      </c>
      <c r="P73" s="9">
        <f t="shared" si="6"/>
        <v>3.0143859008528191E-3</v>
      </c>
      <c r="Q73" s="10">
        <f t="shared" si="5"/>
        <v>3.0143859008528191E-3</v>
      </c>
      <c r="R73" s="6"/>
      <c r="S73">
        <v>5872.2700199999999</v>
      </c>
      <c r="T73" s="28">
        <f t="shared" si="7"/>
        <v>1.9212301821229971E-2</v>
      </c>
      <c r="V73" s="6"/>
      <c r="W73">
        <v>78.379997000000003</v>
      </c>
      <c r="X73" s="27">
        <f t="shared" si="8"/>
        <v>-2.2454632142943385E-2</v>
      </c>
      <c r="Y73" s="26">
        <f t="shared" si="9"/>
        <v>-2.2454632142943385E-2</v>
      </c>
      <c r="Z73" s="6"/>
      <c r="AA73" t="s">
        <v>42</v>
      </c>
      <c r="AB73" s="27">
        <f t="shared" si="10"/>
        <v>-1</v>
      </c>
      <c r="AC73" s="26" t="str">
        <f t="shared" si="11"/>
        <v/>
      </c>
      <c r="AD73" s="6"/>
      <c r="AE73">
        <v>1905.969971</v>
      </c>
      <c r="AF73" s="27">
        <f t="shared" si="12"/>
        <v>-1.3237344440826949E-2</v>
      </c>
      <c r="AG73" s="27">
        <f t="shared" si="13"/>
        <v>-1.3237344440826949E-2</v>
      </c>
      <c r="AH73" s="6"/>
      <c r="AI73">
        <v>37.512000999999998</v>
      </c>
      <c r="AJ73" s="27">
        <f t="shared" si="14"/>
        <v>-2.7081999704574412E-2</v>
      </c>
      <c r="AK73" s="27">
        <f t="shared" si="15"/>
        <v>-2.7081999704574412E-2</v>
      </c>
    </row>
    <row r="74" spans="1:37" ht="14.5" x14ac:dyDescent="0.35">
      <c r="A74" s="1">
        <v>44740</v>
      </c>
      <c r="B74">
        <v>53.456200000000003</v>
      </c>
      <c r="D74" s="12">
        <f t="shared" si="0"/>
        <v>-5.6494849990255467E-6</v>
      </c>
      <c r="E74" s="13">
        <f t="shared" si="16"/>
        <v>-5.6494849990255467E-6</v>
      </c>
      <c r="F74" s="6"/>
      <c r="G74">
        <v>1028.6999510000001</v>
      </c>
      <c r="H74" s="9">
        <f t="shared" si="1"/>
        <v>3.5967241919312304E-4</v>
      </c>
      <c r="I74" s="10">
        <f t="shared" si="2"/>
        <v>3.5967241919312304E-4</v>
      </c>
      <c r="J74" s="6"/>
      <c r="K74">
        <v>208.16999799999999</v>
      </c>
      <c r="L74" s="9">
        <f t="shared" si="3"/>
        <v>-9.6075323976320542E-3</v>
      </c>
      <c r="M74" s="10">
        <f t="shared" si="4"/>
        <v>-9.6075323976320542E-3</v>
      </c>
      <c r="N74" s="6"/>
      <c r="O74">
        <v>133.10000600000001</v>
      </c>
      <c r="P74" s="9">
        <f t="shared" si="6"/>
        <v>3.4559878231710953E-3</v>
      </c>
      <c r="Q74" s="10">
        <f t="shared" si="5"/>
        <v>3.4559878231710953E-3</v>
      </c>
      <c r="R74" s="6"/>
      <c r="S74">
        <v>5985.0898440000001</v>
      </c>
      <c r="T74" s="28">
        <f t="shared" si="7"/>
        <v>3.7677451112294843E-3</v>
      </c>
      <c r="V74" s="6"/>
      <c r="W74">
        <v>76.620002999999997</v>
      </c>
      <c r="X74" s="27">
        <f t="shared" si="8"/>
        <v>-4.2547662129431139E-2</v>
      </c>
      <c r="Y74" s="26">
        <f t="shared" si="9"/>
        <v>-4.2547662129431139E-2</v>
      </c>
      <c r="Z74" s="6"/>
      <c r="AA74">
        <v>484.39001500000001</v>
      </c>
      <c r="AB74" s="27">
        <f t="shared" si="10"/>
        <v>-4.9319792440395381E-2</v>
      </c>
      <c r="AC74" s="26">
        <f t="shared" si="11"/>
        <v>-4.9319792440395381E-2</v>
      </c>
      <c r="AD74" s="6"/>
      <c r="AE74">
        <v>1880.73999</v>
      </c>
      <c r="AF74" s="27">
        <f t="shared" si="12"/>
        <v>-2.2560232262621334E-2</v>
      </c>
      <c r="AG74" s="27">
        <f t="shared" si="13"/>
        <v>-2.2560232262621334E-2</v>
      </c>
      <c r="AH74" s="6"/>
      <c r="AI74">
        <v>36.496101000000003</v>
      </c>
      <c r="AJ74" s="27">
        <f t="shared" si="14"/>
        <v>-1.0135301850463525E-2</v>
      </c>
      <c r="AK74" s="27">
        <f t="shared" si="15"/>
        <v>-1.0135301850463525E-2</v>
      </c>
    </row>
    <row r="75" spans="1:37" ht="14.5" x14ac:dyDescent="0.35">
      <c r="A75" s="1">
        <v>44741</v>
      </c>
      <c r="B75">
        <v>53.455897999999998</v>
      </c>
      <c r="D75" s="12">
        <f t="shared" si="0"/>
        <v>-1.305749273915229E-5</v>
      </c>
      <c r="E75" s="13">
        <f t="shared" si="16"/>
        <v>-1.305749273915229E-5</v>
      </c>
      <c r="F75" s="6"/>
      <c r="G75">
        <v>1029.0699460000001</v>
      </c>
      <c r="H75" s="9">
        <f t="shared" si="1"/>
        <v>5.8314597791187363E-4</v>
      </c>
      <c r="I75" s="10">
        <f t="shared" si="2"/>
        <v>5.8314597791187363E-4</v>
      </c>
      <c r="J75" s="6"/>
      <c r="K75">
        <v>206.16999799999999</v>
      </c>
      <c r="L75" s="9">
        <f t="shared" si="3"/>
        <v>1.6006305631336693E-3</v>
      </c>
      <c r="M75" s="10">
        <f t="shared" si="4"/>
        <v>1.6006305631336693E-3</v>
      </c>
      <c r="N75" s="6"/>
      <c r="O75">
        <v>133.55999800000001</v>
      </c>
      <c r="P75" s="9">
        <f t="shared" si="6"/>
        <v>-2.6355233997532684E-2</v>
      </c>
      <c r="Q75" s="10">
        <f t="shared" si="5"/>
        <v>-2.6355233997532684E-2</v>
      </c>
      <c r="R75" s="6"/>
      <c r="S75">
        <v>6007.6401370000003</v>
      </c>
      <c r="T75" s="28">
        <f t="shared" si="7"/>
        <v>-1.395057911072751E-2</v>
      </c>
      <c r="V75" s="6"/>
      <c r="W75">
        <v>73.360000999999997</v>
      </c>
      <c r="X75" s="27">
        <f t="shared" si="8"/>
        <v>2.7535386756606044E-2</v>
      </c>
      <c r="Y75" s="26">
        <f t="shared" si="9"/>
        <v>2.7535386756606044E-2</v>
      </c>
      <c r="Z75" s="6"/>
      <c r="AA75">
        <v>460.5</v>
      </c>
      <c r="AB75" s="27">
        <f t="shared" si="10"/>
        <v>-2.9706825190010912E-2</v>
      </c>
      <c r="AC75" s="26">
        <f t="shared" si="11"/>
        <v>-2.9706825190010912E-2</v>
      </c>
      <c r="AD75" s="6"/>
      <c r="AE75">
        <v>1838.3100589999999</v>
      </c>
      <c r="AF75" s="27">
        <f t="shared" si="12"/>
        <v>-5.6193344258906883E-3</v>
      </c>
      <c r="AG75" s="27">
        <f t="shared" si="13"/>
        <v>-5.6193344258906883E-3</v>
      </c>
      <c r="AH75" s="6"/>
      <c r="AI75">
        <v>36.126201999999999</v>
      </c>
      <c r="AJ75" s="27">
        <f t="shared" si="14"/>
        <v>-1.4144913434298955E-2</v>
      </c>
      <c r="AK75" s="27">
        <f t="shared" si="15"/>
        <v>-1.4144913434298955E-2</v>
      </c>
    </row>
    <row r="76" spans="1:37" ht="14.5" x14ac:dyDescent="0.35">
      <c r="A76" s="1">
        <v>44742</v>
      </c>
      <c r="B76">
        <v>53.455199999999998</v>
      </c>
      <c r="D76" s="12">
        <f t="shared" si="0"/>
        <v>-6.173393795170277E-5</v>
      </c>
      <c r="E76" s="13">
        <f t="shared" si="16"/>
        <v>-6.173393795170277E-5</v>
      </c>
      <c r="F76" s="6"/>
      <c r="G76">
        <v>1029.670044</v>
      </c>
      <c r="H76" s="9">
        <f t="shared" si="1"/>
        <v>1.2625889308670888E-4</v>
      </c>
      <c r="I76" s="10">
        <f t="shared" si="2"/>
        <v>1.2625889308670888E-4</v>
      </c>
      <c r="J76" s="6"/>
      <c r="K76">
        <v>206.5</v>
      </c>
      <c r="L76" s="9">
        <f t="shared" si="3"/>
        <v>-1</v>
      </c>
      <c r="M76" s="10" t="str">
        <f t="shared" si="4"/>
        <v/>
      </c>
      <c r="N76" s="6"/>
      <c r="O76">
        <v>130.03999300000001</v>
      </c>
      <c r="P76" s="9">
        <f t="shared" si="6"/>
        <v>-2.2531468453708795E-2</v>
      </c>
      <c r="Q76" s="10">
        <f t="shared" si="5"/>
        <v>-2.2531468453708795E-2</v>
      </c>
      <c r="R76" s="6"/>
      <c r="S76">
        <v>5923.830078</v>
      </c>
      <c r="T76" s="28">
        <f t="shared" si="7"/>
        <v>6.1210003532447925E-3</v>
      </c>
      <c r="V76" s="6"/>
      <c r="W76">
        <v>75.379997000000003</v>
      </c>
      <c r="X76" s="27">
        <f t="shared" si="8"/>
        <v>2.5206023820880511E-3</v>
      </c>
      <c r="Y76" s="26">
        <f t="shared" si="9"/>
        <v>2.5206023820880511E-3</v>
      </c>
      <c r="Z76" s="6"/>
      <c r="AA76">
        <v>446.82000699999998</v>
      </c>
      <c r="AB76" s="27">
        <f t="shared" si="10"/>
        <v>1.3540100947180823E-2</v>
      </c>
      <c r="AC76" s="26">
        <f t="shared" si="11"/>
        <v>1.3540100947180823E-2</v>
      </c>
      <c r="AD76" s="6"/>
      <c r="AE76">
        <v>1827.9799800000001</v>
      </c>
      <c r="AF76" s="27">
        <f t="shared" si="12"/>
        <v>-1.329879772534495E-2</v>
      </c>
      <c r="AG76" s="27">
        <f t="shared" si="13"/>
        <v>-1.329879772534495E-2</v>
      </c>
      <c r="AH76" s="6"/>
      <c r="AI76">
        <v>35.615200000000002</v>
      </c>
      <c r="AJ76" s="27">
        <f t="shared" si="14"/>
        <v>-9.3948089579729919E-3</v>
      </c>
      <c r="AK76" s="27">
        <f t="shared" si="15"/>
        <v>-9.3948089579729919E-3</v>
      </c>
    </row>
    <row r="77" spans="1:37" ht="14.5" x14ac:dyDescent="0.35">
      <c r="A77" s="1">
        <v>44743</v>
      </c>
      <c r="B77">
        <v>53.451900000000002</v>
      </c>
      <c r="D77" s="12">
        <f t="shared" si="0"/>
        <v>-9.3354960254904347E-6</v>
      </c>
      <c r="E77" s="13">
        <f t="shared" si="16"/>
        <v>-9.3354960254904347E-6</v>
      </c>
      <c r="F77" s="6"/>
      <c r="G77">
        <v>1029.8000489999999</v>
      </c>
      <c r="H77" s="9">
        <f t="shared" si="1"/>
        <v>-2.6995813436788965E-3</v>
      </c>
      <c r="I77" s="10">
        <f t="shared" si="2"/>
        <v>-2.6995813436788965E-3</v>
      </c>
      <c r="J77" s="6"/>
      <c r="K77" t="s">
        <v>42</v>
      </c>
      <c r="L77" s="9">
        <f t="shared" si="3"/>
        <v>-1</v>
      </c>
      <c r="M77" s="10" t="str">
        <f t="shared" si="4"/>
        <v/>
      </c>
      <c r="N77" s="6"/>
      <c r="O77">
        <v>127.110001</v>
      </c>
      <c r="P77" s="9">
        <f t="shared" si="6"/>
        <v>1.1800881033743613E-3</v>
      </c>
      <c r="Q77" s="10">
        <f t="shared" si="5"/>
        <v>1.1800881033743613E-3</v>
      </c>
      <c r="R77" s="6"/>
      <c r="S77">
        <v>5960.0898440000001</v>
      </c>
      <c r="T77" s="28">
        <f t="shared" si="7"/>
        <v>9.3018633025827302E-3</v>
      </c>
      <c r="V77" s="6"/>
      <c r="W77">
        <v>75.569999999999993</v>
      </c>
      <c r="X77" s="27">
        <f t="shared" si="8"/>
        <v>2.1172819902077972E-3</v>
      </c>
      <c r="Y77" s="26">
        <f t="shared" si="9"/>
        <v>2.1172819902077972E-3</v>
      </c>
      <c r="Z77" s="6"/>
      <c r="AA77">
        <v>452.86999500000002</v>
      </c>
      <c r="AB77" s="27">
        <f t="shared" si="10"/>
        <v>-1.8195045136518779E-2</v>
      </c>
      <c r="AC77" s="26">
        <f t="shared" si="11"/>
        <v>-1.8195045136518779E-2</v>
      </c>
      <c r="AD77" s="6"/>
      <c r="AE77">
        <v>1803.670044</v>
      </c>
      <c r="AF77" s="27">
        <f t="shared" si="12"/>
        <v>7.5512675088814729E-3</v>
      </c>
      <c r="AG77" s="27">
        <f t="shared" si="13"/>
        <v>7.5512675088814729E-3</v>
      </c>
      <c r="AH77" s="6"/>
      <c r="AI77">
        <v>35.280602000000002</v>
      </c>
      <c r="AJ77" s="27">
        <f t="shared" si="14"/>
        <v>1.3987828212228349E-2</v>
      </c>
      <c r="AK77" s="27">
        <f t="shared" si="15"/>
        <v>1.3987828212228349E-2</v>
      </c>
    </row>
    <row r="78" spans="1:37" ht="14.5" x14ac:dyDescent="0.35">
      <c r="A78" s="1">
        <v>44746</v>
      </c>
      <c r="B78">
        <v>53.451400999999997</v>
      </c>
      <c r="D78" s="12">
        <f t="shared" si="0"/>
        <v>-9.3542917611323612E-6</v>
      </c>
      <c r="E78" s="13">
        <f t="shared" ref="E78:E141" si="17">IF(D78=-1,"",D78)</f>
        <v>-9.3542917611323612E-6</v>
      </c>
      <c r="F78" s="6"/>
      <c r="G78">
        <v>1027.0200199999999</v>
      </c>
      <c r="H78" s="9">
        <f t="shared" ref="H78:H141" si="18">IFERROR((G79-G78)/G78,-100%)</f>
        <v>1.1197678502898418E-3</v>
      </c>
      <c r="I78" s="10">
        <f t="shared" ref="I78:I141" si="19">IF(H78=-1,"",H78)</f>
        <v>1.1197678502898418E-3</v>
      </c>
      <c r="J78" s="6"/>
      <c r="K78">
        <v>206.96000699999999</v>
      </c>
      <c r="L78" s="9">
        <f t="shared" ref="L78:L141" si="20">IFERROR((K79-K78)/K78,-100%)</f>
        <v>1.1644703896825818E-2</v>
      </c>
      <c r="M78" s="10">
        <f t="shared" si="4"/>
        <v>1.1644703896825818E-2</v>
      </c>
      <c r="N78" s="6"/>
      <c r="O78">
        <v>127.260002</v>
      </c>
      <c r="P78" s="9">
        <f t="shared" ref="P78:P141" si="21">IFERROR((O79-O78)/O78,-100%)</f>
        <v>-2.160930344791288E-2</v>
      </c>
      <c r="Q78" s="10">
        <f t="shared" ref="Q78:Q141" si="22">IF(P78=-1,"",P78)</f>
        <v>-2.160930344791288E-2</v>
      </c>
      <c r="R78" s="6"/>
      <c r="S78">
        <v>6015.5297849999997</v>
      </c>
      <c r="T78" s="28">
        <f t="shared" si="7"/>
        <v>-5.9079669239805533E-3</v>
      </c>
      <c r="V78" s="6"/>
      <c r="W78">
        <v>75.730002999999996</v>
      </c>
      <c r="X78" s="27">
        <f t="shared" si="8"/>
        <v>-9.7716224836277444E-3</v>
      </c>
      <c r="Y78" s="26">
        <f t="shared" si="9"/>
        <v>-9.7716224836277444E-3</v>
      </c>
      <c r="Z78" s="6"/>
      <c r="AA78">
        <v>444.63000499999998</v>
      </c>
      <c r="AB78" s="27">
        <f t="shared" si="10"/>
        <v>4.6285643723032191E-2</v>
      </c>
      <c r="AC78" s="26">
        <f t="shared" si="11"/>
        <v>4.6285643723032191E-2</v>
      </c>
      <c r="AD78" s="6"/>
      <c r="AE78">
        <v>1817.290039</v>
      </c>
      <c r="AF78" s="27">
        <f t="shared" si="12"/>
        <v>-2.8669518283756688E-3</v>
      </c>
      <c r="AG78" s="27">
        <f t="shared" si="13"/>
        <v>-2.8669518283756688E-3</v>
      </c>
      <c r="AH78" s="6"/>
      <c r="AI78">
        <v>35.774101000000002</v>
      </c>
      <c r="AJ78" s="27">
        <f t="shared" si="14"/>
        <v>4.4752766813062703E-3</v>
      </c>
      <c r="AK78" s="27">
        <f t="shared" si="15"/>
        <v>4.4752766813062703E-3</v>
      </c>
    </row>
    <row r="79" spans="1:37" ht="14.5" x14ac:dyDescent="0.35">
      <c r="A79" s="1">
        <v>44747</v>
      </c>
      <c r="B79">
        <v>53.450901000000002</v>
      </c>
      <c r="D79" s="12">
        <f t="shared" ref="D79:D142" si="23">IFERROR((B80-B79)/B79,-100%)</f>
        <v>4.6753187565542644E-5</v>
      </c>
      <c r="E79" s="13">
        <f t="shared" si="17"/>
        <v>4.6753187565542644E-5</v>
      </c>
      <c r="F79" s="6"/>
      <c r="G79">
        <v>1028.170044</v>
      </c>
      <c r="H79" s="9">
        <f t="shared" si="18"/>
        <v>4.6682939539139957E-4</v>
      </c>
      <c r="I79" s="10">
        <f t="shared" si="19"/>
        <v>4.6682939539139957E-4</v>
      </c>
      <c r="J79" s="6"/>
      <c r="K79">
        <v>209.36999499999999</v>
      </c>
      <c r="L79" s="9">
        <f t="shared" si="20"/>
        <v>1.3230186111433973E-2</v>
      </c>
      <c r="M79" s="10">
        <f t="shared" ref="M79:M142" si="24">IF(L79=-1,"",L79)</f>
        <v>1.3230186111433973E-2</v>
      </c>
      <c r="N79" s="6"/>
      <c r="O79">
        <v>124.510002</v>
      </c>
      <c r="P79" s="9">
        <f t="shared" si="21"/>
        <v>3.6944742800662416E-3</v>
      </c>
      <c r="Q79" s="10">
        <f t="shared" si="22"/>
        <v>3.6944742800662416E-3</v>
      </c>
      <c r="R79" s="6"/>
      <c r="S79">
        <v>5979.9902339999999</v>
      </c>
      <c r="T79" s="28">
        <f t="shared" si="7"/>
        <v>-7.4766759226115743E-3</v>
      </c>
      <c r="V79" s="6"/>
      <c r="W79">
        <v>74.989998</v>
      </c>
      <c r="X79" s="27">
        <f t="shared" si="8"/>
        <v>5.3207162373840794E-2</v>
      </c>
      <c r="Y79" s="26">
        <f t="shared" si="9"/>
        <v>5.3207162373840794E-2</v>
      </c>
      <c r="Z79" s="6"/>
      <c r="AA79">
        <v>465.209991</v>
      </c>
      <c r="AB79" s="27">
        <f t="shared" si="10"/>
        <v>1.7862896671967665E-2</v>
      </c>
      <c r="AC79" s="26">
        <f t="shared" si="11"/>
        <v>1.7862896671967665E-2</v>
      </c>
      <c r="AD79" s="6"/>
      <c r="AE79">
        <v>1812.079956</v>
      </c>
      <c r="AF79" s="27">
        <f t="shared" si="12"/>
        <v>3.2068113113657801E-2</v>
      </c>
      <c r="AG79" s="27">
        <f t="shared" si="13"/>
        <v>3.2068113113657801E-2</v>
      </c>
      <c r="AH79" s="6"/>
      <c r="AI79">
        <v>35.934199999999997</v>
      </c>
      <c r="AJ79" s="27">
        <f t="shared" si="14"/>
        <v>2.9879613293185947E-2</v>
      </c>
      <c r="AK79" s="27">
        <f t="shared" si="15"/>
        <v>2.9879613293185947E-2</v>
      </c>
    </row>
    <row r="80" spans="1:37" ht="14.5" x14ac:dyDescent="0.35">
      <c r="A80" s="1">
        <v>44748</v>
      </c>
      <c r="B80">
        <v>53.453400000000002</v>
      </c>
      <c r="D80" s="12">
        <f t="shared" si="23"/>
        <v>-1</v>
      </c>
      <c r="E80" s="13" t="str">
        <f t="shared" si="17"/>
        <v/>
      </c>
      <c r="F80" s="6"/>
      <c r="G80">
        <v>1028.650024</v>
      </c>
      <c r="H80" s="9">
        <f t="shared" si="18"/>
        <v>1.6234112293182061E-3</v>
      </c>
      <c r="I80" s="10">
        <f t="shared" si="19"/>
        <v>1.6234112293182061E-3</v>
      </c>
      <c r="J80" s="6"/>
      <c r="K80">
        <v>212.13999899999999</v>
      </c>
      <c r="L80" s="9">
        <f t="shared" si="20"/>
        <v>-6.128217243933586E-4</v>
      </c>
      <c r="M80" s="10">
        <f t="shared" si="24"/>
        <v>-6.128217243933586E-4</v>
      </c>
      <c r="N80" s="6"/>
      <c r="O80">
        <v>124.970001</v>
      </c>
      <c r="P80" s="9">
        <f t="shared" si="21"/>
        <v>2.3845690775020478E-2</v>
      </c>
      <c r="Q80" s="10">
        <f t="shared" si="22"/>
        <v>2.3845690775020478E-2</v>
      </c>
      <c r="R80" s="6"/>
      <c r="S80">
        <v>5935.2797849999997</v>
      </c>
      <c r="T80" s="28">
        <f t="shared" ref="T80:T143" si="25">IFERROR((S81-S80)/S80,-100%)</f>
        <v>2.2733583063936361E-2</v>
      </c>
      <c r="V80" s="6"/>
      <c r="W80">
        <v>78.980002999999996</v>
      </c>
      <c r="X80" s="27">
        <f t="shared" ref="X80:X143" si="26">IFERROR((W81-W80)/W80,-100%)</f>
        <v>9.4960745949832399E-3</v>
      </c>
      <c r="Y80" s="26">
        <f t="shared" ref="Y80:Y143" si="27">IF(X80=-1,"",X80)</f>
        <v>9.4960745949832399E-3</v>
      </c>
      <c r="Z80" s="6"/>
      <c r="AA80">
        <v>473.51998900000001</v>
      </c>
      <c r="AB80" s="27">
        <f t="shared" ref="AB80:AB143" si="28">IFERROR((AA81-AA80)/AA80,-100%)</f>
        <v>-7.8771331446369237E-3</v>
      </c>
      <c r="AC80" s="26">
        <f t="shared" ref="AC80:AC143" si="29">IF(AB80=-1,"",AB80)</f>
        <v>-7.8771331446369237E-3</v>
      </c>
      <c r="AD80" s="6"/>
      <c r="AE80">
        <v>1870.1899410000001</v>
      </c>
      <c r="AF80" s="27">
        <f t="shared" ref="AF80:AF143" si="30">IFERROR((AE81-AE80)/AE80,-100%)</f>
        <v>7.6409559728243554E-3</v>
      </c>
      <c r="AG80" s="27">
        <f t="shared" ref="AG80:AG143" si="31">IF(AF80=-1,"",AF80)</f>
        <v>7.6409559728243554E-3</v>
      </c>
      <c r="AH80" s="6"/>
      <c r="AI80">
        <v>37.007899999999999</v>
      </c>
      <c r="AJ80" s="27">
        <f t="shared" ref="AJ80:AJ143" si="32">IFERROR((AI81-AI80)/AI80,-100%)</f>
        <v>3.6046357669579127E-3</v>
      </c>
      <c r="AK80" s="27">
        <f t="shared" ref="AK80:AK143" si="33">IF(AJ80=-1,"",AJ80)</f>
        <v>3.6046357669579127E-3</v>
      </c>
    </row>
    <row r="81" spans="1:37" ht="14.5" x14ac:dyDescent="0.35">
      <c r="A81" s="1">
        <v>44749</v>
      </c>
      <c r="B81" t="s">
        <v>42</v>
      </c>
      <c r="D81" s="12">
        <f t="shared" si="23"/>
        <v>-1</v>
      </c>
      <c r="E81" s="13" t="str">
        <f t="shared" si="17"/>
        <v/>
      </c>
      <c r="F81" s="6"/>
      <c r="G81">
        <v>1030.3199460000001</v>
      </c>
      <c r="H81" s="9">
        <f t="shared" si="18"/>
        <v>-5.0459762719194039E-4</v>
      </c>
      <c r="I81" s="10">
        <f t="shared" si="19"/>
        <v>-5.0459762719194039E-4</v>
      </c>
      <c r="J81" s="6"/>
      <c r="K81">
        <v>212.009995</v>
      </c>
      <c r="L81" s="9">
        <f t="shared" si="20"/>
        <v>-9.9523656891742814E-3</v>
      </c>
      <c r="M81" s="10">
        <f t="shared" si="24"/>
        <v>-9.9523656891742814E-3</v>
      </c>
      <c r="N81" s="6"/>
      <c r="O81">
        <v>127.949997</v>
      </c>
      <c r="P81" s="9">
        <f t="shared" si="21"/>
        <v>9.9257837419097408E-3</v>
      </c>
      <c r="Q81" s="10">
        <f t="shared" si="22"/>
        <v>9.9257837419097408E-3</v>
      </c>
      <c r="R81" s="6"/>
      <c r="S81">
        <v>6070.2099609999996</v>
      </c>
      <c r="T81" s="28">
        <f t="shared" si="25"/>
        <v>-6.3605481932356642E-3</v>
      </c>
      <c r="V81" s="6"/>
      <c r="W81">
        <v>79.730002999999996</v>
      </c>
      <c r="X81" s="27">
        <f t="shared" si="26"/>
        <v>-3.4115149851430417E-2</v>
      </c>
      <c r="Y81" s="26">
        <f t="shared" si="27"/>
        <v>-3.4115149851430417E-2</v>
      </c>
      <c r="Z81" s="6"/>
      <c r="AA81">
        <v>469.790009</v>
      </c>
      <c r="AB81" s="27">
        <f t="shared" si="28"/>
        <v>-1.2494935795878142E-2</v>
      </c>
      <c r="AC81" s="26">
        <f t="shared" si="29"/>
        <v>-1.2494935795878142E-2</v>
      </c>
      <c r="AD81" s="6"/>
      <c r="AE81">
        <v>1884.4799800000001</v>
      </c>
      <c r="AF81" s="27">
        <f t="shared" si="30"/>
        <v>2.8899198494005768E-2</v>
      </c>
      <c r="AG81" s="27">
        <f t="shared" si="31"/>
        <v>2.8899198494005768E-2</v>
      </c>
      <c r="AH81" s="6"/>
      <c r="AI81">
        <v>37.141300000000001</v>
      </c>
      <c r="AJ81" s="27">
        <f t="shared" si="32"/>
        <v>-1.9687006109102231E-2</v>
      </c>
      <c r="AK81" s="27">
        <f t="shared" si="33"/>
        <v>-1.9687006109102231E-2</v>
      </c>
    </row>
    <row r="82" spans="1:37" ht="14.5" x14ac:dyDescent="0.35">
      <c r="A82" s="1">
        <v>44750</v>
      </c>
      <c r="B82">
        <v>53.449100000000001</v>
      </c>
      <c r="D82" s="12">
        <f t="shared" si="23"/>
        <v>6.9243448439721339E-5</v>
      </c>
      <c r="E82" s="13">
        <f t="shared" si="17"/>
        <v>6.9243448439721339E-5</v>
      </c>
      <c r="F82" s="6"/>
      <c r="G82">
        <v>1029.8000489999999</v>
      </c>
      <c r="H82" s="9">
        <f t="shared" si="18"/>
        <v>-9.9050296316302794E-4</v>
      </c>
      <c r="I82" s="10">
        <f t="shared" si="19"/>
        <v>-9.9050296316302794E-4</v>
      </c>
      <c r="J82" s="6"/>
      <c r="K82">
        <v>209.89999399999999</v>
      </c>
      <c r="L82" s="9">
        <f t="shared" si="20"/>
        <v>-9.5283471041928674E-3</v>
      </c>
      <c r="M82" s="10">
        <f t="shared" si="24"/>
        <v>-9.5283471041928674E-3</v>
      </c>
      <c r="N82" s="6"/>
      <c r="O82">
        <v>129.220001</v>
      </c>
      <c r="P82" s="9">
        <f t="shared" si="21"/>
        <v>-3.7145642801844577E-3</v>
      </c>
      <c r="Q82" s="10">
        <f t="shared" si="22"/>
        <v>-3.7145642801844577E-3</v>
      </c>
      <c r="R82" s="6"/>
      <c r="S82">
        <v>6031.6000979999999</v>
      </c>
      <c r="T82" s="28">
        <f t="shared" si="25"/>
        <v>3.2858600998053197E-2</v>
      </c>
      <c r="V82" s="6"/>
      <c r="W82">
        <v>77.010002</v>
      </c>
      <c r="X82" s="27">
        <f t="shared" si="26"/>
        <v>-3.0385715351623977E-2</v>
      </c>
      <c r="Y82" s="26">
        <f t="shared" si="27"/>
        <v>-3.0385715351623977E-2</v>
      </c>
      <c r="Z82" s="6"/>
      <c r="AA82">
        <v>463.92001299999998</v>
      </c>
      <c r="AB82" s="27">
        <f t="shared" si="28"/>
        <v>-1</v>
      </c>
      <c r="AC82" s="26" t="str">
        <f t="shared" si="29"/>
        <v/>
      </c>
      <c r="AD82" s="6"/>
      <c r="AE82">
        <v>1938.9399410000001</v>
      </c>
      <c r="AF82" s="27">
        <f t="shared" si="30"/>
        <v>2.0423959073005349E-3</v>
      </c>
      <c r="AG82" s="27">
        <f t="shared" si="31"/>
        <v>2.0423959073005349E-3</v>
      </c>
      <c r="AH82" s="6"/>
      <c r="AI82">
        <v>36.410099000000002</v>
      </c>
      <c r="AJ82" s="27">
        <f t="shared" si="32"/>
        <v>-6.9101157895780866E-3</v>
      </c>
      <c r="AK82" s="27">
        <f t="shared" si="33"/>
        <v>-6.9101157895780866E-3</v>
      </c>
    </row>
    <row r="83" spans="1:37" ht="14.5" x14ac:dyDescent="0.35">
      <c r="A83" s="1">
        <v>44753</v>
      </c>
      <c r="B83">
        <v>53.452801000000001</v>
      </c>
      <c r="D83" s="12">
        <f t="shared" si="23"/>
        <v>-1</v>
      </c>
      <c r="E83" s="13" t="str">
        <f t="shared" si="17"/>
        <v/>
      </c>
      <c r="F83" s="6"/>
      <c r="G83">
        <v>1028.780029</v>
      </c>
      <c r="H83" s="9">
        <f t="shared" si="18"/>
        <v>-1</v>
      </c>
      <c r="I83" s="10" t="str">
        <f t="shared" si="19"/>
        <v/>
      </c>
      <c r="J83" s="6"/>
      <c r="K83">
        <v>207.89999399999999</v>
      </c>
      <c r="L83" s="9">
        <f t="shared" si="20"/>
        <v>-4.6657096103619724E-3</v>
      </c>
      <c r="M83" s="10">
        <f t="shared" si="24"/>
        <v>-4.6657096103619724E-3</v>
      </c>
      <c r="N83" s="6"/>
      <c r="O83">
        <v>128.740005</v>
      </c>
      <c r="P83" s="9">
        <f t="shared" si="21"/>
        <v>-1.2272805178157294E-2</v>
      </c>
      <c r="Q83" s="10">
        <f t="shared" si="22"/>
        <v>-1.2272805178157294E-2</v>
      </c>
      <c r="R83" s="6"/>
      <c r="S83">
        <v>6229.7900390000004</v>
      </c>
      <c r="T83" s="28">
        <f t="shared" si="25"/>
        <v>-1.1143220167198967E-2</v>
      </c>
      <c r="V83" s="6"/>
      <c r="W83">
        <v>74.669998000000007</v>
      </c>
      <c r="X83" s="27">
        <f t="shared" si="26"/>
        <v>1.0713847883054578E-2</v>
      </c>
      <c r="Y83" s="26">
        <f t="shared" si="27"/>
        <v>1.0713847883054578E-2</v>
      </c>
      <c r="Z83" s="6"/>
      <c r="AA83" t="s">
        <v>42</v>
      </c>
      <c r="AB83" s="27">
        <f t="shared" si="28"/>
        <v>-1</v>
      </c>
      <c r="AC83" s="26" t="str">
        <f t="shared" si="29"/>
        <v/>
      </c>
      <c r="AD83" s="6"/>
      <c r="AE83">
        <v>1942.900024</v>
      </c>
      <c r="AF83" s="27">
        <f t="shared" si="30"/>
        <v>-1.0628454241040263E-2</v>
      </c>
      <c r="AG83" s="27">
        <f t="shared" si="31"/>
        <v>-1.0628454241040263E-2</v>
      </c>
      <c r="AH83" s="6"/>
      <c r="AI83">
        <v>36.158501000000001</v>
      </c>
      <c r="AJ83" s="27">
        <f t="shared" si="32"/>
        <v>-7.1349749814018113E-4</v>
      </c>
      <c r="AK83" s="27">
        <f t="shared" si="33"/>
        <v>-7.1349749814018113E-4</v>
      </c>
    </row>
    <row r="84" spans="1:37" ht="14.5" x14ac:dyDescent="0.35">
      <c r="A84" s="1">
        <v>44754</v>
      </c>
      <c r="B84" t="s">
        <v>42</v>
      </c>
      <c r="D84" s="12">
        <f t="shared" si="23"/>
        <v>-1</v>
      </c>
      <c r="E84" s="13" t="str">
        <f t="shared" si="17"/>
        <v/>
      </c>
      <c r="F84" s="6"/>
      <c r="G84" t="s">
        <v>42</v>
      </c>
      <c r="H84" s="9">
        <f t="shared" si="18"/>
        <v>-1</v>
      </c>
      <c r="I84" s="10" t="str">
        <f t="shared" si="19"/>
        <v/>
      </c>
      <c r="J84" s="6"/>
      <c r="K84">
        <v>206.929993</v>
      </c>
      <c r="L84" s="9">
        <f t="shared" si="20"/>
        <v>-1.3531097930303592E-3</v>
      </c>
      <c r="M84" s="10">
        <f t="shared" si="24"/>
        <v>-1.3531097930303592E-3</v>
      </c>
      <c r="N84" s="6"/>
      <c r="O84">
        <v>127.160004</v>
      </c>
      <c r="P84" s="9">
        <f t="shared" si="21"/>
        <v>3.0669942413654146E-3</v>
      </c>
      <c r="Q84" s="10">
        <f t="shared" si="22"/>
        <v>3.0669942413654146E-3</v>
      </c>
      <c r="R84" s="6"/>
      <c r="S84">
        <v>6160.3701170000004</v>
      </c>
      <c r="T84" s="28">
        <f t="shared" si="25"/>
        <v>2.2595918322483549E-3</v>
      </c>
      <c r="V84" s="6"/>
      <c r="W84">
        <v>75.470000999999996</v>
      </c>
      <c r="X84" s="27">
        <f t="shared" si="26"/>
        <v>-2.5175831122619527E-3</v>
      </c>
      <c r="Y84" s="26">
        <f t="shared" si="27"/>
        <v>-2.5175831122619527E-3</v>
      </c>
      <c r="Z84" s="6"/>
      <c r="AA84">
        <v>452.60998499999999</v>
      </c>
      <c r="AB84" s="27">
        <f t="shared" si="28"/>
        <v>-1.0494686722388593E-2</v>
      </c>
      <c r="AC84" s="26">
        <f t="shared" si="29"/>
        <v>-1.0494686722388593E-2</v>
      </c>
      <c r="AD84" s="6"/>
      <c r="AE84">
        <v>1922.25</v>
      </c>
      <c r="AF84" s="27">
        <f t="shared" si="30"/>
        <v>-9.9622962673949957E-3</v>
      </c>
      <c r="AG84" s="27">
        <f t="shared" si="31"/>
        <v>-9.9622962673949957E-3</v>
      </c>
      <c r="AH84" s="6"/>
      <c r="AI84">
        <v>36.132702000000002</v>
      </c>
      <c r="AJ84" s="27">
        <f t="shared" si="32"/>
        <v>2.6125364219924158E-3</v>
      </c>
      <c r="AK84" s="27">
        <f t="shared" si="33"/>
        <v>2.6125364219924158E-3</v>
      </c>
    </row>
    <row r="85" spans="1:37" ht="14.5" x14ac:dyDescent="0.35">
      <c r="A85" s="1">
        <v>44755</v>
      </c>
      <c r="B85">
        <v>53.454498000000001</v>
      </c>
      <c r="D85" s="12">
        <f t="shared" si="23"/>
        <v>-1</v>
      </c>
      <c r="E85" s="13" t="str">
        <f t="shared" si="17"/>
        <v/>
      </c>
      <c r="F85" s="6"/>
      <c r="G85" t="s">
        <v>42</v>
      </c>
      <c r="H85" s="9">
        <f t="shared" si="18"/>
        <v>-1</v>
      </c>
      <c r="I85" s="10" t="str">
        <f t="shared" si="19"/>
        <v/>
      </c>
      <c r="J85" s="6"/>
      <c r="K85">
        <v>206.64999399999999</v>
      </c>
      <c r="L85" s="9">
        <f t="shared" si="20"/>
        <v>2.3276134234971223E-2</v>
      </c>
      <c r="M85" s="10">
        <f t="shared" si="24"/>
        <v>2.3276134234971223E-2</v>
      </c>
      <c r="N85" s="6"/>
      <c r="O85">
        <v>127.550003</v>
      </c>
      <c r="P85" s="9">
        <f t="shared" si="21"/>
        <v>-5.4880437752719913E-4</v>
      </c>
      <c r="Q85" s="10">
        <f t="shared" si="22"/>
        <v>-5.4880437752719913E-4</v>
      </c>
      <c r="R85" s="6"/>
      <c r="S85">
        <v>6174.2900390000004</v>
      </c>
      <c r="T85" s="28">
        <f t="shared" si="25"/>
        <v>3.9745523525768923E-3</v>
      </c>
      <c r="V85" s="6"/>
      <c r="W85">
        <v>75.279999000000004</v>
      </c>
      <c r="X85" s="27">
        <f t="shared" si="26"/>
        <v>-1.2885241935245118E-2</v>
      </c>
      <c r="Y85" s="26">
        <f t="shared" si="27"/>
        <v>-1.2885241935245118E-2</v>
      </c>
      <c r="Z85" s="6"/>
      <c r="AA85">
        <v>447.85998499999999</v>
      </c>
      <c r="AB85" s="27">
        <f t="shared" si="28"/>
        <v>-1</v>
      </c>
      <c r="AC85" s="26" t="str">
        <f t="shared" si="29"/>
        <v/>
      </c>
      <c r="AD85" s="6"/>
      <c r="AE85">
        <v>1903.099976</v>
      </c>
      <c r="AF85" s="27">
        <f t="shared" si="30"/>
        <v>-5.3859493086347455E-3</v>
      </c>
      <c r="AG85" s="27">
        <f t="shared" si="31"/>
        <v>-5.3859493086347455E-3</v>
      </c>
      <c r="AH85" s="6"/>
      <c r="AI85">
        <v>36.2271</v>
      </c>
      <c r="AJ85" s="27">
        <f t="shared" si="32"/>
        <v>2.0509508075446339E-2</v>
      </c>
      <c r="AK85" s="27">
        <f t="shared" si="33"/>
        <v>2.0509508075446339E-2</v>
      </c>
    </row>
    <row r="86" spans="1:37" ht="14.5" x14ac:dyDescent="0.35">
      <c r="A86" s="1">
        <v>44756</v>
      </c>
      <c r="B86" t="s">
        <v>42</v>
      </c>
      <c r="D86" s="12">
        <f t="shared" si="23"/>
        <v>-1</v>
      </c>
      <c r="E86" s="13" t="str">
        <f t="shared" si="17"/>
        <v/>
      </c>
      <c r="F86" s="6"/>
      <c r="G86">
        <v>1035.599976</v>
      </c>
      <c r="H86" s="9">
        <f t="shared" si="18"/>
        <v>-1</v>
      </c>
      <c r="I86" s="10" t="str">
        <f t="shared" si="19"/>
        <v/>
      </c>
      <c r="J86" s="6"/>
      <c r="K86">
        <v>211.46000699999999</v>
      </c>
      <c r="L86" s="9">
        <f t="shared" si="20"/>
        <v>-6.4314809182806033E-3</v>
      </c>
      <c r="M86" s="10">
        <f t="shared" si="24"/>
        <v>-6.4314809182806033E-3</v>
      </c>
      <c r="N86" s="6"/>
      <c r="O86">
        <v>127.480003</v>
      </c>
      <c r="P86" s="9">
        <f t="shared" si="21"/>
        <v>-1</v>
      </c>
      <c r="Q86" s="10" t="str">
        <f t="shared" si="22"/>
        <v/>
      </c>
      <c r="R86" s="6"/>
      <c r="S86">
        <v>6198.830078</v>
      </c>
      <c r="T86" s="28">
        <f t="shared" si="25"/>
        <v>4.2491637403454059E-3</v>
      </c>
      <c r="V86" s="6"/>
      <c r="W86">
        <v>74.309997999999993</v>
      </c>
      <c r="X86" s="27">
        <f t="shared" si="26"/>
        <v>1.709062083409019E-2</v>
      </c>
      <c r="Y86" s="26">
        <f t="shared" si="27"/>
        <v>1.709062083409019E-2</v>
      </c>
      <c r="Z86" s="6"/>
      <c r="AA86" t="s">
        <v>42</v>
      </c>
      <c r="AB86" s="27">
        <f t="shared" si="28"/>
        <v>-1</v>
      </c>
      <c r="AC86" s="26" t="str">
        <f t="shared" si="29"/>
        <v/>
      </c>
      <c r="AD86" s="6"/>
      <c r="AE86">
        <v>1892.849976</v>
      </c>
      <c r="AF86" s="27">
        <f t="shared" si="30"/>
        <v>1.0476307288708209E-2</v>
      </c>
      <c r="AG86" s="27">
        <f t="shared" si="31"/>
        <v>1.0476307288708209E-2</v>
      </c>
      <c r="AH86" s="6"/>
      <c r="AI86">
        <v>36.970100000000002</v>
      </c>
      <c r="AJ86" s="27">
        <f t="shared" si="32"/>
        <v>-8.7990565348754976E-3</v>
      </c>
      <c r="AK86" s="27">
        <f t="shared" si="33"/>
        <v>-8.7990565348754976E-3</v>
      </c>
    </row>
    <row r="87" spans="1:37" ht="14.5" x14ac:dyDescent="0.35">
      <c r="A87" s="1">
        <v>44757</v>
      </c>
      <c r="B87">
        <v>53.448501999999998</v>
      </c>
      <c r="D87" s="12">
        <f t="shared" si="23"/>
        <v>-3.9327575541793753E-5</v>
      </c>
      <c r="E87" s="13">
        <f t="shared" si="17"/>
        <v>-3.9327575541793753E-5</v>
      </c>
      <c r="F87" s="6"/>
      <c r="G87" t="s">
        <v>42</v>
      </c>
      <c r="H87" s="9">
        <f t="shared" si="18"/>
        <v>-1</v>
      </c>
      <c r="I87" s="10" t="str">
        <f t="shared" si="19"/>
        <v/>
      </c>
      <c r="J87" s="6"/>
      <c r="K87">
        <v>210.10000600000001</v>
      </c>
      <c r="L87" s="9">
        <f t="shared" si="20"/>
        <v>2.7177495654141008E-2</v>
      </c>
      <c r="M87" s="10">
        <f t="shared" si="24"/>
        <v>2.7177495654141008E-2</v>
      </c>
      <c r="N87" s="6"/>
      <c r="O87" t="s">
        <v>42</v>
      </c>
      <c r="P87" s="9">
        <f t="shared" si="21"/>
        <v>-1</v>
      </c>
      <c r="Q87" s="10" t="str">
        <f t="shared" si="22"/>
        <v/>
      </c>
      <c r="R87" s="6"/>
      <c r="S87">
        <v>6225.169922</v>
      </c>
      <c r="T87" s="28">
        <f t="shared" si="25"/>
        <v>-3.0392619377563141E-3</v>
      </c>
      <c r="V87" s="6"/>
      <c r="W87">
        <v>75.580001999999993</v>
      </c>
      <c r="X87" s="27">
        <f t="shared" si="26"/>
        <v>6.7477373181335206E-3</v>
      </c>
      <c r="Y87" s="26">
        <f t="shared" si="27"/>
        <v>6.7477373181335206E-3</v>
      </c>
      <c r="Z87" s="6"/>
      <c r="AA87">
        <v>476.11999500000002</v>
      </c>
      <c r="AB87" s="27">
        <f t="shared" si="28"/>
        <v>-7.6031148408291843E-3</v>
      </c>
      <c r="AC87" s="26">
        <f t="shared" si="29"/>
        <v>-7.6031148408291843E-3</v>
      </c>
      <c r="AD87" s="6"/>
      <c r="AE87">
        <v>1912.6800539999999</v>
      </c>
      <c r="AF87" s="27">
        <f t="shared" si="30"/>
        <v>9.9075383571705592E-3</v>
      </c>
      <c r="AG87" s="27">
        <f t="shared" si="31"/>
        <v>9.9075383571705592E-3</v>
      </c>
      <c r="AH87" s="6"/>
      <c r="AI87">
        <v>36.644798000000002</v>
      </c>
      <c r="AJ87" s="27">
        <f t="shared" si="32"/>
        <v>3.8927844546994002E-2</v>
      </c>
      <c r="AK87" s="27">
        <f t="shared" si="33"/>
        <v>3.8927844546994002E-2</v>
      </c>
    </row>
    <row r="88" spans="1:37" ht="14.5" x14ac:dyDescent="0.35">
      <c r="A88" s="1">
        <v>44760</v>
      </c>
      <c r="B88">
        <v>53.446399999999997</v>
      </c>
      <c r="D88" s="12">
        <f t="shared" si="23"/>
        <v>-4.3052478744979417E-5</v>
      </c>
      <c r="E88" s="13">
        <f t="shared" si="17"/>
        <v>-4.3052478744979417E-5</v>
      </c>
      <c r="F88" s="6"/>
      <c r="G88" t="s">
        <v>42</v>
      </c>
      <c r="H88" s="9">
        <f t="shared" si="18"/>
        <v>-1</v>
      </c>
      <c r="I88" s="10" t="str">
        <f t="shared" si="19"/>
        <v/>
      </c>
      <c r="J88" s="6"/>
      <c r="K88">
        <v>215.80999800000001</v>
      </c>
      <c r="L88" s="9">
        <f t="shared" si="20"/>
        <v>6.7652380034774516E-3</v>
      </c>
      <c r="M88" s="10">
        <f t="shared" si="24"/>
        <v>6.7652380034774516E-3</v>
      </c>
      <c r="N88" s="6"/>
      <c r="O88">
        <v>127.129997</v>
      </c>
      <c r="P88" s="9">
        <f t="shared" si="21"/>
        <v>1.1327067049329049E-2</v>
      </c>
      <c r="Q88" s="10">
        <f t="shared" si="22"/>
        <v>1.1327067049329049E-2</v>
      </c>
      <c r="R88" s="6"/>
      <c r="S88">
        <v>6206.25</v>
      </c>
      <c r="T88" s="28">
        <f t="shared" si="25"/>
        <v>1.5771179536757239E-2</v>
      </c>
      <c r="V88" s="6"/>
      <c r="W88">
        <v>76.089995999999999</v>
      </c>
      <c r="X88" s="27">
        <f t="shared" si="26"/>
        <v>1.2616730851188434E-2</v>
      </c>
      <c r="Y88" s="26">
        <f t="shared" si="27"/>
        <v>1.2616730851188434E-2</v>
      </c>
      <c r="Z88" s="6"/>
      <c r="AA88">
        <v>472.5</v>
      </c>
      <c r="AB88" s="27">
        <f t="shared" si="28"/>
        <v>2.7724880423280439E-2</v>
      </c>
      <c r="AC88" s="26">
        <f t="shared" si="29"/>
        <v>2.7724880423280439E-2</v>
      </c>
      <c r="AD88" s="6"/>
      <c r="AE88">
        <v>1931.630005</v>
      </c>
      <c r="AF88" s="27">
        <f t="shared" si="30"/>
        <v>-1.4609408078644951E-2</v>
      </c>
      <c r="AG88" s="27">
        <f t="shared" si="31"/>
        <v>-1.4609408078644951E-2</v>
      </c>
      <c r="AH88" s="6"/>
      <c r="AI88">
        <v>38.071300999999998</v>
      </c>
      <c r="AJ88" s="27">
        <f t="shared" si="32"/>
        <v>1.8376046565889717E-2</v>
      </c>
      <c r="AK88" s="27">
        <f t="shared" si="33"/>
        <v>1.8376046565889717E-2</v>
      </c>
    </row>
    <row r="89" spans="1:37" ht="14.5" x14ac:dyDescent="0.35">
      <c r="A89" s="1">
        <v>44761</v>
      </c>
      <c r="B89">
        <v>53.444099000000001</v>
      </c>
      <c r="D89" s="12">
        <f t="shared" si="23"/>
        <v>1.1207972651969049E-5</v>
      </c>
      <c r="E89" s="13">
        <f t="shared" si="17"/>
        <v>1.1207972651969049E-5</v>
      </c>
      <c r="F89" s="6"/>
      <c r="G89" t="s">
        <v>42</v>
      </c>
      <c r="H89" s="9">
        <f t="shared" si="18"/>
        <v>-1</v>
      </c>
      <c r="I89" s="10" t="str">
        <f t="shared" si="19"/>
        <v/>
      </c>
      <c r="J89" s="6"/>
      <c r="K89">
        <v>217.270004</v>
      </c>
      <c r="L89" s="9">
        <f t="shared" si="20"/>
        <v>1.5510631647063388E-2</v>
      </c>
      <c r="M89" s="10">
        <f t="shared" si="24"/>
        <v>1.5510631647063388E-2</v>
      </c>
      <c r="N89" s="6"/>
      <c r="O89">
        <v>128.570007</v>
      </c>
      <c r="P89" s="9">
        <f t="shared" si="21"/>
        <v>1.4777894505364632E-2</v>
      </c>
      <c r="Q89" s="10">
        <f t="shared" si="22"/>
        <v>1.4777894505364632E-2</v>
      </c>
      <c r="R89" s="6"/>
      <c r="S89">
        <v>6304.1298829999996</v>
      </c>
      <c r="T89" s="28">
        <f t="shared" si="25"/>
        <v>1.7285528220770684E-2</v>
      </c>
      <c r="V89" s="6"/>
      <c r="W89">
        <v>77.050003000000004</v>
      </c>
      <c r="X89" s="27">
        <f t="shared" si="26"/>
        <v>-4.1531471452377153E-3</v>
      </c>
      <c r="Y89" s="26">
        <f t="shared" si="27"/>
        <v>-4.1531471452377153E-3</v>
      </c>
      <c r="Z89" s="6"/>
      <c r="AA89">
        <v>485.60000600000001</v>
      </c>
      <c r="AB89" s="27">
        <f t="shared" si="28"/>
        <v>2.9077419327709023E-2</v>
      </c>
      <c r="AC89" s="26">
        <f t="shared" si="29"/>
        <v>2.9077419327709023E-2</v>
      </c>
      <c r="AD89" s="6"/>
      <c r="AE89">
        <v>1903.410034</v>
      </c>
      <c r="AF89" s="27">
        <f t="shared" si="30"/>
        <v>2.9110864716603714E-2</v>
      </c>
      <c r="AG89" s="27">
        <f t="shared" si="31"/>
        <v>2.9110864716603714E-2</v>
      </c>
      <c r="AH89" s="6"/>
      <c r="AI89">
        <v>38.770901000000002</v>
      </c>
      <c r="AJ89" s="27">
        <f t="shared" si="32"/>
        <v>1.4327755756823784E-2</v>
      </c>
      <c r="AK89" s="27">
        <f t="shared" si="33"/>
        <v>1.4327755756823784E-2</v>
      </c>
    </row>
    <row r="90" spans="1:37" ht="14.5" x14ac:dyDescent="0.35">
      <c r="A90" s="1">
        <v>44762</v>
      </c>
      <c r="B90">
        <v>53.444698000000002</v>
      </c>
      <c r="D90" s="12">
        <f t="shared" si="23"/>
        <v>-1</v>
      </c>
      <c r="E90" s="13" t="str">
        <f t="shared" si="17"/>
        <v/>
      </c>
      <c r="F90" s="6"/>
      <c r="G90" t="s">
        <v>42</v>
      </c>
      <c r="H90" s="9">
        <f t="shared" si="18"/>
        <v>-1</v>
      </c>
      <c r="I90" s="10" t="str">
        <f t="shared" si="19"/>
        <v/>
      </c>
      <c r="J90" s="6"/>
      <c r="K90">
        <v>220.63999899999999</v>
      </c>
      <c r="L90" s="9">
        <f t="shared" si="20"/>
        <v>-1.128537441663058E-2</v>
      </c>
      <c r="M90" s="10">
        <f t="shared" si="24"/>
        <v>-1.128537441663058E-2</v>
      </c>
      <c r="N90" s="6"/>
      <c r="O90">
        <v>130.470001</v>
      </c>
      <c r="P90" s="9">
        <f t="shared" si="21"/>
        <v>2.6826549959174722E-3</v>
      </c>
      <c r="Q90" s="10">
        <f t="shared" si="22"/>
        <v>2.6826549959174722E-3</v>
      </c>
      <c r="R90" s="6"/>
      <c r="S90">
        <v>6413.1000979999999</v>
      </c>
      <c r="T90" s="28">
        <f t="shared" si="25"/>
        <v>5.3141347365883509E-3</v>
      </c>
      <c r="V90" s="6"/>
      <c r="W90">
        <v>76.730002999999996</v>
      </c>
      <c r="X90" s="27">
        <f t="shared" si="26"/>
        <v>-7.0376772955422608E-3</v>
      </c>
      <c r="Y90" s="26">
        <f t="shared" si="27"/>
        <v>-7.0376772955422608E-3</v>
      </c>
      <c r="Z90" s="6"/>
      <c r="AA90">
        <v>499.72000100000002</v>
      </c>
      <c r="AB90" s="27">
        <f t="shared" si="28"/>
        <v>3.802117178015439E-3</v>
      </c>
      <c r="AC90" s="26">
        <f t="shared" si="29"/>
        <v>3.802117178015439E-3</v>
      </c>
      <c r="AD90" s="6"/>
      <c r="AE90">
        <v>1958.8199460000001</v>
      </c>
      <c r="AF90" s="27">
        <f t="shared" si="30"/>
        <v>2.4514769771493805E-2</v>
      </c>
      <c r="AG90" s="27">
        <f t="shared" si="31"/>
        <v>2.4514769771493805E-2</v>
      </c>
      <c r="AH90" s="6"/>
      <c r="AI90">
        <v>39.326400999999997</v>
      </c>
      <c r="AJ90" s="27">
        <f t="shared" si="32"/>
        <v>-2.0601936088684922E-2</v>
      </c>
      <c r="AK90" s="27">
        <f t="shared" si="33"/>
        <v>-2.0601936088684922E-2</v>
      </c>
    </row>
    <row r="91" spans="1:37" ht="14.5" x14ac:dyDescent="0.35">
      <c r="A91" s="1">
        <v>44763</v>
      </c>
      <c r="B91" t="s">
        <v>42</v>
      </c>
      <c r="D91" s="12">
        <f t="shared" si="23"/>
        <v>-1</v>
      </c>
      <c r="E91" s="13" t="str">
        <f t="shared" si="17"/>
        <v/>
      </c>
      <c r="F91" s="6"/>
      <c r="G91" t="s">
        <v>42</v>
      </c>
      <c r="H91" s="9">
        <f t="shared" si="18"/>
        <v>-1</v>
      </c>
      <c r="I91" s="10" t="str">
        <f t="shared" si="19"/>
        <v/>
      </c>
      <c r="J91" s="6"/>
      <c r="K91">
        <v>218.14999399999999</v>
      </c>
      <c r="L91" s="9">
        <f t="shared" si="20"/>
        <v>-2.3378180794265966E-3</v>
      </c>
      <c r="M91" s="10">
        <f t="shared" si="24"/>
        <v>-2.3378180794265966E-3</v>
      </c>
      <c r="N91" s="6"/>
      <c r="O91">
        <v>130.820007</v>
      </c>
      <c r="P91" s="9">
        <f t="shared" si="21"/>
        <v>9.9365535120321665E-4</v>
      </c>
      <c r="Q91" s="10">
        <f t="shared" si="22"/>
        <v>9.9365535120321665E-4</v>
      </c>
      <c r="R91" s="6"/>
      <c r="S91">
        <v>6447.1801759999998</v>
      </c>
      <c r="T91" s="28">
        <f t="shared" si="25"/>
        <v>-3.4898978135833006E-3</v>
      </c>
      <c r="V91" s="6"/>
      <c r="W91">
        <v>76.190002000000007</v>
      </c>
      <c r="X91" s="27">
        <f t="shared" si="26"/>
        <v>2.7562671543176192E-3</v>
      </c>
      <c r="Y91" s="26">
        <f t="shared" si="27"/>
        <v>2.7562671543176192E-3</v>
      </c>
      <c r="Z91" s="6"/>
      <c r="AA91">
        <v>501.61999500000002</v>
      </c>
      <c r="AB91" s="27">
        <f t="shared" si="28"/>
        <v>-1</v>
      </c>
      <c r="AC91" s="26" t="str">
        <f t="shared" si="29"/>
        <v/>
      </c>
      <c r="AD91" s="6"/>
      <c r="AE91">
        <v>2006.839966</v>
      </c>
      <c r="AF91" s="27">
        <f t="shared" si="30"/>
        <v>1.6822472430270487E-2</v>
      </c>
      <c r="AG91" s="27">
        <f t="shared" si="31"/>
        <v>1.6822472430270487E-2</v>
      </c>
      <c r="AH91" s="6"/>
      <c r="AI91">
        <v>38.516201000000002</v>
      </c>
      <c r="AJ91" s="27">
        <f t="shared" si="32"/>
        <v>-5.6002927183810332E-3</v>
      </c>
      <c r="AK91" s="27">
        <f t="shared" si="33"/>
        <v>-5.6002927183810332E-3</v>
      </c>
    </row>
    <row r="92" spans="1:37" ht="14.5" x14ac:dyDescent="0.35">
      <c r="A92" s="1">
        <v>44764</v>
      </c>
      <c r="B92">
        <v>53.448501999999998</v>
      </c>
      <c r="D92" s="12">
        <f t="shared" si="23"/>
        <v>-3.5548236693315087E-5</v>
      </c>
      <c r="E92" s="13">
        <f t="shared" si="17"/>
        <v>-3.5548236693315087E-5</v>
      </c>
      <c r="F92" s="6"/>
      <c r="G92">
        <v>1030.599976</v>
      </c>
      <c r="H92" s="9">
        <f t="shared" si="18"/>
        <v>3.2214904689654216E-3</v>
      </c>
      <c r="I92" s="10">
        <f t="shared" si="19"/>
        <v>3.2214904689654216E-3</v>
      </c>
      <c r="J92" s="6"/>
      <c r="K92">
        <v>217.63999899999999</v>
      </c>
      <c r="L92" s="9">
        <f t="shared" si="20"/>
        <v>-1.1670616668216312E-2</v>
      </c>
      <c r="M92" s="10">
        <f t="shared" si="24"/>
        <v>-1.1670616668216312E-2</v>
      </c>
      <c r="N92" s="6"/>
      <c r="O92">
        <v>130.949997</v>
      </c>
      <c r="P92" s="9">
        <f t="shared" si="21"/>
        <v>3.4822436842056645E-2</v>
      </c>
      <c r="Q92" s="10">
        <f t="shared" si="22"/>
        <v>3.4822436842056645E-2</v>
      </c>
      <c r="R92" s="6"/>
      <c r="S92">
        <v>6424.6801759999998</v>
      </c>
      <c r="T92" s="28">
        <f t="shared" si="25"/>
        <v>-3.2032844338117849E-3</v>
      </c>
      <c r="V92" s="6"/>
      <c r="W92">
        <v>76.400002000000001</v>
      </c>
      <c r="X92" s="27">
        <f t="shared" si="26"/>
        <v>-5.8901176468556171E-3</v>
      </c>
      <c r="Y92" s="26">
        <f t="shared" si="27"/>
        <v>-5.8901176468556171E-3</v>
      </c>
      <c r="Z92" s="6"/>
      <c r="AA92" t="s">
        <v>42</v>
      </c>
      <c r="AB92" s="27">
        <f t="shared" si="28"/>
        <v>-1</v>
      </c>
      <c r="AC92" s="26" t="str">
        <f t="shared" si="29"/>
        <v/>
      </c>
      <c r="AD92" s="6"/>
      <c r="AE92">
        <v>2040.599976</v>
      </c>
      <c r="AF92" s="27">
        <f t="shared" si="30"/>
        <v>-2.1493671721968078E-2</v>
      </c>
      <c r="AG92" s="27">
        <f t="shared" si="31"/>
        <v>-2.1493671721968078E-2</v>
      </c>
      <c r="AH92" s="6"/>
      <c r="AI92">
        <v>38.300499000000002</v>
      </c>
      <c r="AJ92" s="27">
        <f t="shared" si="32"/>
        <v>-1.5647315717740373E-2</v>
      </c>
      <c r="AK92" s="27">
        <f t="shared" si="33"/>
        <v>-1.5647315717740373E-2</v>
      </c>
    </row>
    <row r="93" spans="1:37" ht="14.5" x14ac:dyDescent="0.35">
      <c r="A93" s="1">
        <v>44767</v>
      </c>
      <c r="B93">
        <v>53.446601999999999</v>
      </c>
      <c r="D93" s="12">
        <f t="shared" si="23"/>
        <v>4.4885921840345189E-5</v>
      </c>
      <c r="E93" s="13">
        <f t="shared" si="17"/>
        <v>4.4885921840345189E-5</v>
      </c>
      <c r="F93" s="6"/>
      <c r="G93">
        <v>1033.920044</v>
      </c>
      <c r="H93" s="9">
        <f t="shared" si="18"/>
        <v>4.574802497977367E-3</v>
      </c>
      <c r="I93" s="10">
        <f t="shared" si="19"/>
        <v>4.574802497977367E-3</v>
      </c>
      <c r="J93" s="6"/>
      <c r="K93">
        <v>215.10000600000001</v>
      </c>
      <c r="L93" s="9">
        <f t="shared" si="20"/>
        <v>2.5755429314120899E-2</v>
      </c>
      <c r="M93" s="10">
        <f t="shared" si="24"/>
        <v>2.5755429314120899E-2</v>
      </c>
      <c r="N93" s="6"/>
      <c r="O93">
        <v>135.509995</v>
      </c>
      <c r="P93" s="9">
        <f t="shared" si="21"/>
        <v>-1.0700295575983131E-2</v>
      </c>
      <c r="Q93" s="10">
        <f t="shared" si="22"/>
        <v>-1.0700295575983131E-2</v>
      </c>
      <c r="R93" s="6"/>
      <c r="S93">
        <v>6404.1000979999999</v>
      </c>
      <c r="T93" s="28">
        <f t="shared" si="25"/>
        <v>1.1339628658002964E-2</v>
      </c>
      <c r="V93" s="6"/>
      <c r="W93">
        <v>75.949996999999996</v>
      </c>
      <c r="X93" s="27">
        <f t="shared" si="26"/>
        <v>4.1606374256999652E-2</v>
      </c>
      <c r="Y93" s="26">
        <f t="shared" si="27"/>
        <v>4.1606374256999652E-2</v>
      </c>
      <c r="Z93" s="6"/>
      <c r="AA93">
        <v>482.73998999999998</v>
      </c>
      <c r="AB93" s="27">
        <f t="shared" si="28"/>
        <v>1.4666315504543136E-2</v>
      </c>
      <c r="AC93" s="26">
        <f t="shared" si="29"/>
        <v>1.4666315504543136E-2</v>
      </c>
      <c r="AD93" s="6"/>
      <c r="AE93">
        <v>1996.73999</v>
      </c>
      <c r="AF93" s="27">
        <f t="shared" si="30"/>
        <v>-4.812837449106256E-3</v>
      </c>
      <c r="AG93" s="27">
        <f t="shared" si="31"/>
        <v>-4.812837449106256E-3</v>
      </c>
      <c r="AH93" s="6"/>
      <c r="AI93">
        <v>37.701199000000003</v>
      </c>
      <c r="AJ93" s="27">
        <f t="shared" si="32"/>
        <v>3.5799948961835297E-2</v>
      </c>
      <c r="AK93" s="27">
        <f t="shared" si="33"/>
        <v>3.5799948961835297E-2</v>
      </c>
    </row>
    <row r="94" spans="1:37" ht="14.5" x14ac:dyDescent="0.35">
      <c r="A94" s="1">
        <v>44768</v>
      </c>
      <c r="B94">
        <v>53.449001000000003</v>
      </c>
      <c r="D94" s="12">
        <f t="shared" si="23"/>
        <v>-2.0617784792704451E-5</v>
      </c>
      <c r="E94" s="13">
        <f t="shared" si="17"/>
        <v>-2.0617784792704451E-5</v>
      </c>
      <c r="F94" s="6"/>
      <c r="G94">
        <v>1038.650024</v>
      </c>
      <c r="H94" s="9">
        <f t="shared" si="18"/>
        <v>-1</v>
      </c>
      <c r="I94" s="10" t="str">
        <f t="shared" si="19"/>
        <v/>
      </c>
      <c r="J94" s="6"/>
      <c r="K94">
        <v>220.63999899999999</v>
      </c>
      <c r="L94" s="9">
        <f t="shared" si="20"/>
        <v>1.5636317148460577E-2</v>
      </c>
      <c r="M94" s="10">
        <f t="shared" si="24"/>
        <v>1.5636317148460577E-2</v>
      </c>
      <c r="N94" s="6"/>
      <c r="O94">
        <v>134.05999800000001</v>
      </c>
      <c r="P94" s="9">
        <f t="shared" si="21"/>
        <v>-1.2009555602111907E-2</v>
      </c>
      <c r="Q94" s="10">
        <f t="shared" si="22"/>
        <v>-1.2009555602111907E-2</v>
      </c>
      <c r="R94" s="6"/>
      <c r="S94">
        <v>6476.7202150000003</v>
      </c>
      <c r="T94" s="28">
        <f t="shared" si="25"/>
        <v>5.5429138218532894E-3</v>
      </c>
      <c r="V94" s="6"/>
      <c r="W94">
        <v>79.110000999999997</v>
      </c>
      <c r="X94" s="27">
        <f t="shared" si="26"/>
        <v>5.8146858069183939E-2</v>
      </c>
      <c r="Y94" s="26">
        <f t="shared" si="27"/>
        <v>5.8146858069183939E-2</v>
      </c>
      <c r="Z94" s="6"/>
      <c r="AA94">
        <v>489.82000699999998</v>
      </c>
      <c r="AB94" s="27">
        <f t="shared" si="28"/>
        <v>1.4454262583847494E-2</v>
      </c>
      <c r="AC94" s="26">
        <f t="shared" si="29"/>
        <v>1.4454262583847494E-2</v>
      </c>
      <c r="AD94" s="6"/>
      <c r="AE94">
        <v>1987.130005</v>
      </c>
      <c r="AF94" s="27">
        <f t="shared" si="30"/>
        <v>-1.5509778385133927E-2</v>
      </c>
      <c r="AG94" s="27">
        <f t="shared" si="31"/>
        <v>-1.5509778385133927E-2</v>
      </c>
      <c r="AH94" s="6"/>
      <c r="AI94">
        <v>39.050899999999999</v>
      </c>
      <c r="AJ94" s="27">
        <f t="shared" si="32"/>
        <v>1.5477236120038164E-2</v>
      </c>
      <c r="AK94" s="27">
        <f t="shared" si="33"/>
        <v>1.5477236120038164E-2</v>
      </c>
    </row>
    <row r="95" spans="1:37" ht="14.5" x14ac:dyDescent="0.35">
      <c r="A95" s="1">
        <v>44769</v>
      </c>
      <c r="B95">
        <v>53.447899</v>
      </c>
      <c r="D95" s="12">
        <f t="shared" si="23"/>
        <v>-1</v>
      </c>
      <c r="E95" s="13" t="str">
        <f t="shared" si="17"/>
        <v/>
      </c>
      <c r="F95" s="6"/>
      <c r="G95" t="s">
        <v>42</v>
      </c>
      <c r="H95" s="9">
        <f t="shared" si="18"/>
        <v>-1</v>
      </c>
      <c r="I95" s="10" t="str">
        <f t="shared" si="19"/>
        <v/>
      </c>
      <c r="J95" s="6"/>
      <c r="K95">
        <v>224.08999600000001</v>
      </c>
      <c r="L95" s="9">
        <f t="shared" si="20"/>
        <v>1.1379370099145235E-2</v>
      </c>
      <c r="M95" s="10">
        <f t="shared" si="24"/>
        <v>1.1379370099145235E-2</v>
      </c>
      <c r="N95" s="6"/>
      <c r="O95">
        <v>132.449997</v>
      </c>
      <c r="P95" s="9">
        <f t="shared" si="21"/>
        <v>-5.2844093307140619E-4</v>
      </c>
      <c r="Q95" s="10">
        <f t="shared" si="22"/>
        <v>-5.2844093307140619E-4</v>
      </c>
      <c r="R95" s="6"/>
      <c r="S95">
        <v>6512.6201170000004</v>
      </c>
      <c r="T95" s="28">
        <f t="shared" si="25"/>
        <v>-3.3318725198416821E-4</v>
      </c>
      <c r="V95" s="6"/>
      <c r="W95">
        <v>83.709998999999996</v>
      </c>
      <c r="X95" s="27">
        <f t="shared" si="26"/>
        <v>2.6400657345605878E-2</v>
      </c>
      <c r="Y95" s="26">
        <f t="shared" si="27"/>
        <v>2.6400657345605878E-2</v>
      </c>
      <c r="Z95" s="6"/>
      <c r="AA95">
        <v>496.89999399999999</v>
      </c>
      <c r="AB95" s="27">
        <f t="shared" si="28"/>
        <v>2.9241294376026964E-2</v>
      </c>
      <c r="AC95" s="26">
        <f t="shared" si="29"/>
        <v>2.9241294376026964E-2</v>
      </c>
      <c r="AD95" s="6"/>
      <c r="AE95">
        <v>1956.3100589999999</v>
      </c>
      <c r="AF95" s="27">
        <f t="shared" si="30"/>
        <v>3.7356019136023898E-2</v>
      </c>
      <c r="AG95" s="27">
        <f t="shared" si="31"/>
        <v>3.7356019136023898E-2</v>
      </c>
      <c r="AH95" s="6"/>
      <c r="AI95">
        <v>39.655299999999997</v>
      </c>
      <c r="AJ95" s="27">
        <f t="shared" si="32"/>
        <v>1.0931678741555474E-2</v>
      </c>
      <c r="AK95" s="27">
        <f t="shared" si="33"/>
        <v>1.0931678741555474E-2</v>
      </c>
    </row>
    <row r="96" spans="1:37" ht="14.5" x14ac:dyDescent="0.35">
      <c r="A96" s="1">
        <v>44770</v>
      </c>
      <c r="B96" t="s">
        <v>42</v>
      </c>
      <c r="D96" s="12">
        <f t="shared" si="23"/>
        <v>-1</v>
      </c>
      <c r="E96" s="13" t="str">
        <f t="shared" si="17"/>
        <v/>
      </c>
      <c r="F96" s="6"/>
      <c r="G96">
        <v>1044.349976</v>
      </c>
      <c r="H96" s="9">
        <f t="shared" si="18"/>
        <v>2.0395500061754193E-3</v>
      </c>
      <c r="I96" s="10">
        <f t="shared" si="19"/>
        <v>2.0395500061754193E-3</v>
      </c>
      <c r="J96" s="6"/>
      <c r="K96">
        <v>226.63999899999999</v>
      </c>
      <c r="L96" s="9">
        <f t="shared" si="20"/>
        <v>-7.7214966807337485E-3</v>
      </c>
      <c r="M96" s="10">
        <f t="shared" si="24"/>
        <v>-7.7214966807337485E-3</v>
      </c>
      <c r="N96" s="6"/>
      <c r="O96">
        <v>132.38000500000001</v>
      </c>
      <c r="P96" s="9">
        <f t="shared" si="21"/>
        <v>2.2586417034808067E-2</v>
      </c>
      <c r="Q96" s="10">
        <f t="shared" si="22"/>
        <v>2.2586417034808067E-2</v>
      </c>
      <c r="R96" s="6"/>
      <c r="S96">
        <v>6510.4501950000003</v>
      </c>
      <c r="T96" s="28">
        <f t="shared" si="25"/>
        <v>6.251219006521533E-4</v>
      </c>
      <c r="V96" s="6"/>
      <c r="W96">
        <v>85.919998000000007</v>
      </c>
      <c r="X96" s="27">
        <f t="shared" si="26"/>
        <v>-1</v>
      </c>
      <c r="Y96" s="26" t="str">
        <f t="shared" si="27"/>
        <v/>
      </c>
      <c r="Z96" s="6"/>
      <c r="AA96">
        <v>511.42999300000002</v>
      </c>
      <c r="AB96" s="27">
        <f t="shared" si="28"/>
        <v>-1</v>
      </c>
      <c r="AC96" s="26" t="str">
        <f t="shared" si="29"/>
        <v/>
      </c>
      <c r="AD96" s="6"/>
      <c r="AE96">
        <v>2029.3900149999999</v>
      </c>
      <c r="AF96" s="27">
        <f t="shared" si="30"/>
        <v>2.0666339486251985E-2</v>
      </c>
      <c r="AG96" s="27">
        <f t="shared" si="31"/>
        <v>2.0666339486251985E-2</v>
      </c>
      <c r="AH96" s="6"/>
      <c r="AI96">
        <v>40.088799000000002</v>
      </c>
      <c r="AJ96" s="27">
        <f t="shared" si="32"/>
        <v>1.2297948860977305E-3</v>
      </c>
      <c r="AK96" s="27">
        <f t="shared" si="33"/>
        <v>1.2297948860977305E-3</v>
      </c>
    </row>
    <row r="97" spans="1:37" ht="14.5" x14ac:dyDescent="0.35">
      <c r="A97" s="1">
        <v>44771</v>
      </c>
      <c r="B97">
        <v>53.451400999999997</v>
      </c>
      <c r="D97" s="12">
        <f t="shared" si="23"/>
        <v>3.7042995375291175E-6</v>
      </c>
      <c r="E97" s="13">
        <f t="shared" si="17"/>
        <v>3.7042995375291175E-6</v>
      </c>
      <c r="F97" s="6"/>
      <c r="G97">
        <v>1046.4799800000001</v>
      </c>
      <c r="H97" s="9">
        <f t="shared" si="18"/>
        <v>3.8797292615190878E-3</v>
      </c>
      <c r="I97" s="10">
        <f t="shared" si="19"/>
        <v>3.8797292615190878E-3</v>
      </c>
      <c r="J97" s="6"/>
      <c r="K97">
        <v>224.88999899999999</v>
      </c>
      <c r="L97" s="9">
        <f t="shared" si="20"/>
        <v>1.4006821174826992E-2</v>
      </c>
      <c r="M97" s="10">
        <f t="shared" si="24"/>
        <v>1.4006821174826992E-2</v>
      </c>
      <c r="N97" s="6"/>
      <c r="O97">
        <v>135.36999499999999</v>
      </c>
      <c r="P97" s="9">
        <f t="shared" si="21"/>
        <v>1.8098634043681654E-2</v>
      </c>
      <c r="Q97" s="10">
        <f t="shared" si="22"/>
        <v>1.8098634043681654E-2</v>
      </c>
      <c r="R97" s="6"/>
      <c r="S97">
        <v>6514.5200199999999</v>
      </c>
      <c r="T97" s="28">
        <f t="shared" si="25"/>
        <v>-7.2791121762490248E-3</v>
      </c>
      <c r="V97" s="6"/>
      <c r="W97" t="s">
        <v>42</v>
      </c>
      <c r="X97" s="27">
        <f t="shared" si="26"/>
        <v>-1</v>
      </c>
      <c r="Y97" s="26" t="str">
        <f t="shared" si="27"/>
        <v/>
      </c>
      <c r="Z97" s="6"/>
      <c r="AA97" t="s">
        <v>42</v>
      </c>
      <c r="AB97" s="27">
        <f t="shared" si="28"/>
        <v>-1</v>
      </c>
      <c r="AC97" s="26" t="str">
        <f t="shared" si="29"/>
        <v/>
      </c>
      <c r="AD97" s="6"/>
      <c r="AE97">
        <v>2071.330078</v>
      </c>
      <c r="AF97" s="27">
        <f t="shared" si="30"/>
        <v>1.4116528461863061E-2</v>
      </c>
      <c r="AG97" s="27">
        <f t="shared" si="31"/>
        <v>1.4116528461863061E-2</v>
      </c>
      <c r="AH97" s="6"/>
      <c r="AI97">
        <v>40.138100000000001</v>
      </c>
      <c r="AJ97" s="27">
        <f t="shared" si="32"/>
        <v>-4.4720851261021797E-3</v>
      </c>
      <c r="AK97" s="27">
        <f t="shared" si="33"/>
        <v>-4.4720851261021797E-3</v>
      </c>
    </row>
    <row r="98" spans="1:37" ht="14.5" x14ac:dyDescent="0.35">
      <c r="A98" s="1">
        <v>44774</v>
      </c>
      <c r="B98">
        <v>53.451599000000002</v>
      </c>
      <c r="D98" s="12">
        <f t="shared" si="23"/>
        <v>-2.6191919908772844E-5</v>
      </c>
      <c r="E98" s="13">
        <f t="shared" si="17"/>
        <v>-2.6191919908772844E-5</v>
      </c>
      <c r="F98" s="6"/>
      <c r="G98">
        <v>1050.540039</v>
      </c>
      <c r="H98" s="9">
        <f t="shared" si="18"/>
        <v>2.3797284322258946E-3</v>
      </c>
      <c r="I98" s="10">
        <f t="shared" si="19"/>
        <v>2.3797284322258946E-3</v>
      </c>
      <c r="J98" s="6"/>
      <c r="K98">
        <v>228.03999300000001</v>
      </c>
      <c r="L98" s="9">
        <f t="shared" si="20"/>
        <v>6.5777935714986619E-3</v>
      </c>
      <c r="M98" s="10">
        <f t="shared" si="24"/>
        <v>6.5777935714986619E-3</v>
      </c>
      <c r="N98" s="6"/>
      <c r="O98">
        <v>137.820007</v>
      </c>
      <c r="P98" s="9">
        <f t="shared" si="21"/>
        <v>-1.5817790518614726E-2</v>
      </c>
      <c r="Q98" s="10">
        <f t="shared" si="22"/>
        <v>-1.5817790518614726E-2</v>
      </c>
      <c r="R98" s="6"/>
      <c r="S98">
        <v>6467.1000979999999</v>
      </c>
      <c r="T98" s="28">
        <f t="shared" si="25"/>
        <v>1.4397467425746914E-2</v>
      </c>
      <c r="V98" s="6"/>
      <c r="W98">
        <v>84.690002000000007</v>
      </c>
      <c r="X98" s="27">
        <f t="shared" si="26"/>
        <v>-1.8538185888813768E-2</v>
      </c>
      <c r="Y98" s="26">
        <f t="shared" si="27"/>
        <v>-1.8538185888813768E-2</v>
      </c>
      <c r="Z98" s="6"/>
      <c r="AA98">
        <v>519.21997099999999</v>
      </c>
      <c r="AB98" s="27">
        <f t="shared" si="28"/>
        <v>1.9471604646732688E-2</v>
      </c>
      <c r="AC98" s="26">
        <f t="shared" si="29"/>
        <v>1.9471604646732688E-2</v>
      </c>
      <c r="AD98" s="6"/>
      <c r="AE98">
        <v>2100.570068</v>
      </c>
      <c r="AF98" s="27">
        <f t="shared" si="30"/>
        <v>-5.5461829993094756E-3</v>
      </c>
      <c r="AG98" s="27">
        <f t="shared" si="31"/>
        <v>-5.5461829993094756E-3</v>
      </c>
      <c r="AH98" s="6"/>
      <c r="AI98">
        <v>39.958599</v>
      </c>
      <c r="AJ98" s="27">
        <f t="shared" si="32"/>
        <v>2.9075093448596621E-2</v>
      </c>
      <c r="AK98" s="27">
        <f t="shared" si="33"/>
        <v>2.9075093448596621E-2</v>
      </c>
    </row>
    <row r="99" spans="1:37" ht="14.5" x14ac:dyDescent="0.35">
      <c r="A99" s="1">
        <v>44775</v>
      </c>
      <c r="B99">
        <v>53.450198999999998</v>
      </c>
      <c r="D99" s="12">
        <f t="shared" si="23"/>
        <v>-1</v>
      </c>
      <c r="E99" s="13" t="str">
        <f t="shared" si="17"/>
        <v/>
      </c>
      <c r="F99" s="6"/>
      <c r="G99">
        <v>1053.040039</v>
      </c>
      <c r="H99" s="9">
        <f t="shared" si="18"/>
        <v>6.2390277260863701E-3</v>
      </c>
      <c r="I99" s="10">
        <f t="shared" si="19"/>
        <v>6.2390277260863701E-3</v>
      </c>
      <c r="J99" s="6"/>
      <c r="K99">
        <v>229.53999300000001</v>
      </c>
      <c r="L99" s="9">
        <f t="shared" si="20"/>
        <v>-6.1426681319102349E-3</v>
      </c>
      <c r="M99" s="10">
        <f t="shared" si="24"/>
        <v>-6.1426681319102349E-3</v>
      </c>
      <c r="N99" s="6"/>
      <c r="O99">
        <v>135.63999899999999</v>
      </c>
      <c r="P99" s="9">
        <f t="shared" si="21"/>
        <v>-4.1285535544716527E-3</v>
      </c>
      <c r="Q99" s="10">
        <f t="shared" si="22"/>
        <v>-4.1285535544716527E-3</v>
      </c>
      <c r="R99" s="6"/>
      <c r="S99">
        <v>6560.2099609999996</v>
      </c>
      <c r="T99" s="28">
        <f t="shared" si="25"/>
        <v>-1.0624243799259847E-3</v>
      </c>
      <c r="V99" s="6"/>
      <c r="W99">
        <v>83.120002999999997</v>
      </c>
      <c r="X99" s="27">
        <f t="shared" si="26"/>
        <v>2.0452321206003762E-2</v>
      </c>
      <c r="Y99" s="26">
        <f t="shared" si="27"/>
        <v>2.0452321206003762E-2</v>
      </c>
      <c r="Z99" s="6"/>
      <c r="AA99">
        <v>529.330017</v>
      </c>
      <c r="AB99" s="27">
        <f t="shared" si="28"/>
        <v>1.7078151077156878E-2</v>
      </c>
      <c r="AC99" s="26">
        <f t="shared" si="29"/>
        <v>1.7078151077156878E-2</v>
      </c>
      <c r="AD99" s="6"/>
      <c r="AE99">
        <v>2088.919922</v>
      </c>
      <c r="AF99" s="27">
        <f t="shared" si="30"/>
        <v>4.3707405457928811E-3</v>
      </c>
      <c r="AG99" s="27">
        <f t="shared" si="31"/>
        <v>4.3707405457928811E-3</v>
      </c>
      <c r="AH99" s="6"/>
      <c r="AI99">
        <v>41.120398999999999</v>
      </c>
      <c r="AJ99" s="27">
        <f t="shared" si="32"/>
        <v>-1.9989835215362501E-3</v>
      </c>
      <c r="AK99" s="27">
        <f t="shared" si="33"/>
        <v>-1.9989835215362501E-3</v>
      </c>
    </row>
    <row r="100" spans="1:37" ht="14.5" x14ac:dyDescent="0.35">
      <c r="A100" s="1">
        <v>44776</v>
      </c>
      <c r="B100" t="s">
        <v>42</v>
      </c>
      <c r="D100" s="12">
        <f t="shared" si="23"/>
        <v>-1</v>
      </c>
      <c r="E100" s="13" t="str">
        <f t="shared" si="17"/>
        <v/>
      </c>
      <c r="F100" s="6"/>
      <c r="G100">
        <v>1059.6099850000001</v>
      </c>
      <c r="H100" s="9">
        <f t="shared" si="18"/>
        <v>2.4820500346643889E-3</v>
      </c>
      <c r="I100" s="10">
        <f t="shared" si="19"/>
        <v>2.4820500346643889E-3</v>
      </c>
      <c r="J100" s="6"/>
      <c r="K100">
        <v>228.13000500000001</v>
      </c>
      <c r="L100" s="9">
        <f t="shared" si="20"/>
        <v>-1.8849252205996095E-3</v>
      </c>
      <c r="M100" s="10">
        <f t="shared" si="24"/>
        <v>-1.8849252205996095E-3</v>
      </c>
      <c r="N100" s="6"/>
      <c r="O100">
        <v>135.08000200000001</v>
      </c>
      <c r="P100" s="9">
        <f t="shared" si="21"/>
        <v>7.9952767545856188E-3</v>
      </c>
      <c r="Q100" s="10">
        <f t="shared" si="22"/>
        <v>7.9952767545856188E-3</v>
      </c>
      <c r="R100" s="6"/>
      <c r="S100">
        <v>6553.2402339999999</v>
      </c>
      <c r="T100" s="28">
        <f t="shared" si="25"/>
        <v>4.484750741704571E-3</v>
      </c>
      <c r="V100" s="6"/>
      <c r="W100">
        <v>84.82</v>
      </c>
      <c r="X100" s="27">
        <f t="shared" si="26"/>
        <v>1.1082315491629415E-2</v>
      </c>
      <c r="Y100" s="26">
        <f t="shared" si="27"/>
        <v>1.1082315491629415E-2</v>
      </c>
      <c r="Z100" s="6"/>
      <c r="AA100">
        <v>538.36999500000002</v>
      </c>
      <c r="AB100" s="27">
        <f t="shared" si="28"/>
        <v>-1.0587644283556932E-3</v>
      </c>
      <c r="AC100" s="26">
        <f t="shared" si="29"/>
        <v>-1.0587644283556932E-3</v>
      </c>
      <c r="AD100" s="6"/>
      <c r="AE100">
        <v>2098.0500489999999</v>
      </c>
      <c r="AF100" s="27">
        <f t="shared" si="30"/>
        <v>2.8612295988178313E-2</v>
      </c>
      <c r="AG100" s="27">
        <f t="shared" si="31"/>
        <v>2.8612295988178313E-2</v>
      </c>
      <c r="AH100" s="6"/>
      <c r="AI100">
        <v>41.038200000000003</v>
      </c>
      <c r="AJ100" s="27">
        <f t="shared" si="32"/>
        <v>-6.2234942078357768E-3</v>
      </c>
      <c r="AK100" s="27">
        <f t="shared" si="33"/>
        <v>-6.2234942078357768E-3</v>
      </c>
    </row>
    <row r="101" spans="1:37" ht="14.5" x14ac:dyDescent="0.35">
      <c r="A101" s="1">
        <v>44777</v>
      </c>
      <c r="B101">
        <v>53.448298999999999</v>
      </c>
      <c r="D101" s="12">
        <f t="shared" si="23"/>
        <v>2.0636765259835871E-5</v>
      </c>
      <c r="E101" s="13">
        <f t="shared" si="17"/>
        <v>2.0636765259835871E-5</v>
      </c>
      <c r="F101" s="6"/>
      <c r="G101">
        <v>1062.23999</v>
      </c>
      <c r="H101" s="9">
        <f t="shared" si="18"/>
        <v>-2.0898949586713477E-3</v>
      </c>
      <c r="I101" s="10">
        <f t="shared" si="19"/>
        <v>-2.0898949586713477E-3</v>
      </c>
      <c r="J101" s="6"/>
      <c r="K101">
        <v>227.699997</v>
      </c>
      <c r="L101" s="9">
        <f t="shared" si="20"/>
        <v>-1.0979358950101348E-2</v>
      </c>
      <c r="M101" s="10">
        <f t="shared" si="24"/>
        <v>-1.0979358950101348E-2</v>
      </c>
      <c r="N101" s="6"/>
      <c r="O101">
        <v>136.16000399999999</v>
      </c>
      <c r="P101" s="9">
        <f t="shared" si="21"/>
        <v>-3.8190730370424907E-3</v>
      </c>
      <c r="Q101" s="10">
        <f t="shared" si="22"/>
        <v>-3.8190730370424907E-3</v>
      </c>
      <c r="R101" s="6"/>
      <c r="S101">
        <v>6582.6298829999996</v>
      </c>
      <c r="T101" s="28">
        <f t="shared" si="25"/>
        <v>-2.4908722336557592E-4</v>
      </c>
      <c r="V101" s="6"/>
      <c r="W101">
        <v>85.760002</v>
      </c>
      <c r="X101" s="27">
        <f t="shared" si="26"/>
        <v>9.2117651769644746E-3</v>
      </c>
      <c r="Y101" s="26">
        <f t="shared" si="27"/>
        <v>9.2117651769644746E-3</v>
      </c>
      <c r="Z101" s="6"/>
      <c r="AA101">
        <v>537.79998799999998</v>
      </c>
      <c r="AB101" s="27">
        <f t="shared" si="28"/>
        <v>-1</v>
      </c>
      <c r="AC101" s="26" t="str">
        <f t="shared" si="29"/>
        <v/>
      </c>
      <c r="AD101" s="6"/>
      <c r="AE101">
        <v>2158.080078</v>
      </c>
      <c r="AF101" s="27">
        <f t="shared" si="30"/>
        <v>-3.7106130034882649E-5</v>
      </c>
      <c r="AG101" s="27">
        <f t="shared" si="31"/>
        <v>-3.7106130034882649E-5</v>
      </c>
      <c r="AH101" s="6"/>
      <c r="AI101">
        <v>40.782798999999997</v>
      </c>
      <c r="AJ101" s="27">
        <f t="shared" si="32"/>
        <v>-2.336744959559964E-3</v>
      </c>
      <c r="AK101" s="27">
        <f t="shared" si="33"/>
        <v>-2.336744959559964E-3</v>
      </c>
    </row>
    <row r="102" spans="1:37" ht="14.5" x14ac:dyDescent="0.35">
      <c r="A102" s="1">
        <v>44778</v>
      </c>
      <c r="B102">
        <v>53.449401999999999</v>
      </c>
      <c r="D102" s="12">
        <f t="shared" si="23"/>
        <v>-4.8681554940427517E-5</v>
      </c>
      <c r="E102" s="13">
        <f t="shared" si="17"/>
        <v>-4.8681554940427517E-5</v>
      </c>
      <c r="F102" s="6"/>
      <c r="G102">
        <v>1060.0200199999999</v>
      </c>
      <c r="H102" s="9">
        <f t="shared" si="18"/>
        <v>-1</v>
      </c>
      <c r="I102" s="10" t="str">
        <f t="shared" si="19"/>
        <v/>
      </c>
      <c r="J102" s="6"/>
      <c r="K102">
        <v>225.199997</v>
      </c>
      <c r="L102" s="9">
        <f t="shared" si="20"/>
        <v>2.3801070476923723E-2</v>
      </c>
      <c r="M102" s="10">
        <f t="shared" si="24"/>
        <v>2.3801070476923723E-2</v>
      </c>
      <c r="N102" s="6"/>
      <c r="O102">
        <v>135.63999899999999</v>
      </c>
      <c r="P102" s="9">
        <f t="shared" si="21"/>
        <v>-1.0100228620614991E-2</v>
      </c>
      <c r="Q102" s="10">
        <f t="shared" si="22"/>
        <v>-1.0100228620614991E-2</v>
      </c>
      <c r="R102" s="6"/>
      <c r="S102">
        <v>6580.9902339999999</v>
      </c>
      <c r="T102" s="28">
        <f t="shared" si="25"/>
        <v>4.2014806308555376E-3</v>
      </c>
      <c r="V102" s="6"/>
      <c r="W102">
        <v>86.550003000000004</v>
      </c>
      <c r="X102" s="27">
        <f t="shared" si="26"/>
        <v>9.9364641269856085E-3</v>
      </c>
      <c r="Y102" s="26">
        <f t="shared" si="27"/>
        <v>9.9364641269856085E-3</v>
      </c>
      <c r="Z102" s="6"/>
      <c r="AA102" t="s">
        <v>42</v>
      </c>
      <c r="AB102" s="27">
        <f t="shared" si="28"/>
        <v>-1</v>
      </c>
      <c r="AC102" s="26" t="str">
        <f t="shared" si="29"/>
        <v/>
      </c>
      <c r="AD102" s="6"/>
      <c r="AE102">
        <v>2158</v>
      </c>
      <c r="AF102" s="27">
        <f t="shared" si="30"/>
        <v>3.526462928637614E-3</v>
      </c>
      <c r="AG102" s="27">
        <f t="shared" si="31"/>
        <v>3.526462928637614E-3</v>
      </c>
      <c r="AH102" s="6"/>
      <c r="AI102">
        <v>40.6875</v>
      </c>
      <c r="AJ102" s="27">
        <f t="shared" si="32"/>
        <v>-2.7106629800307289E-2</v>
      </c>
      <c r="AK102" s="27">
        <f t="shared" si="33"/>
        <v>-2.7106629800307289E-2</v>
      </c>
    </row>
    <row r="103" spans="1:37" ht="14.5" x14ac:dyDescent="0.35">
      <c r="A103" s="1">
        <v>44781</v>
      </c>
      <c r="B103">
        <v>53.446800000000003</v>
      </c>
      <c r="D103" s="12">
        <f t="shared" si="23"/>
        <v>2.0562503274216759E-5</v>
      </c>
      <c r="E103" s="13">
        <f t="shared" si="17"/>
        <v>2.0562503274216759E-5</v>
      </c>
      <c r="F103" s="6"/>
      <c r="G103" t="s">
        <v>42</v>
      </c>
      <c r="H103" s="9">
        <f t="shared" si="18"/>
        <v>-1</v>
      </c>
      <c r="I103" s="10" t="str">
        <f t="shared" si="19"/>
        <v/>
      </c>
      <c r="J103" s="6"/>
      <c r="K103">
        <v>230.55999800000001</v>
      </c>
      <c r="L103" s="9">
        <f t="shared" si="20"/>
        <v>-3.4698256720144651E-3</v>
      </c>
      <c r="M103" s="10">
        <f t="shared" si="24"/>
        <v>-3.4698256720144651E-3</v>
      </c>
      <c r="N103" s="6"/>
      <c r="O103">
        <v>134.270004</v>
      </c>
      <c r="P103" s="9">
        <f t="shared" si="21"/>
        <v>1.0948096791596106E-2</v>
      </c>
      <c r="Q103" s="10">
        <f t="shared" si="22"/>
        <v>1.0948096791596106E-2</v>
      </c>
      <c r="R103" s="6"/>
      <c r="S103">
        <v>6608.6401370000003</v>
      </c>
      <c r="T103" s="28">
        <f t="shared" si="25"/>
        <v>-1.1811818677032068E-2</v>
      </c>
      <c r="V103" s="6"/>
      <c r="W103">
        <v>87.410004000000001</v>
      </c>
      <c r="X103" s="27">
        <f t="shared" si="26"/>
        <v>3.9926757124962492E-2</v>
      </c>
      <c r="Y103" s="26">
        <f t="shared" si="27"/>
        <v>3.9926757124962492E-2</v>
      </c>
      <c r="Z103" s="6"/>
      <c r="AA103">
        <v>526.02002000000005</v>
      </c>
      <c r="AB103" s="27">
        <f t="shared" si="28"/>
        <v>-1</v>
      </c>
      <c r="AC103" s="26" t="str">
        <f t="shared" si="29"/>
        <v/>
      </c>
      <c r="AD103" s="6"/>
      <c r="AE103">
        <v>2165.610107</v>
      </c>
      <c r="AF103" s="27">
        <f t="shared" si="30"/>
        <v>-6.8895901214040102E-3</v>
      </c>
      <c r="AG103" s="27">
        <f t="shared" si="31"/>
        <v>-6.8895901214040102E-3</v>
      </c>
      <c r="AH103" s="6"/>
      <c r="AI103">
        <v>39.584598999999997</v>
      </c>
      <c r="AJ103" s="27">
        <f t="shared" si="32"/>
        <v>3.6466202423826505E-2</v>
      </c>
      <c r="AK103" s="27">
        <f t="shared" si="33"/>
        <v>3.6466202423826505E-2</v>
      </c>
    </row>
    <row r="104" spans="1:37" ht="14.5" x14ac:dyDescent="0.35">
      <c r="A104" s="1">
        <v>44782</v>
      </c>
      <c r="B104">
        <v>53.447899</v>
      </c>
      <c r="D104" s="12">
        <f t="shared" si="23"/>
        <v>-1</v>
      </c>
      <c r="E104" s="13" t="str">
        <f t="shared" si="17"/>
        <v/>
      </c>
      <c r="F104" s="6"/>
      <c r="G104">
        <v>1062.530029</v>
      </c>
      <c r="H104" s="9">
        <f t="shared" si="18"/>
        <v>-1</v>
      </c>
      <c r="I104" s="10" t="str">
        <f t="shared" si="19"/>
        <v/>
      </c>
      <c r="J104" s="6"/>
      <c r="K104">
        <v>229.759995</v>
      </c>
      <c r="L104" s="9">
        <f t="shared" si="20"/>
        <v>1.1185615668210665E-2</v>
      </c>
      <c r="M104" s="10">
        <f t="shared" si="24"/>
        <v>1.1185615668210665E-2</v>
      </c>
      <c r="N104" s="6"/>
      <c r="O104">
        <v>135.740005</v>
      </c>
      <c r="P104" s="9">
        <f t="shared" si="21"/>
        <v>-1.2892293616756534E-2</v>
      </c>
      <c r="Q104" s="10">
        <f t="shared" si="22"/>
        <v>-1.2892293616756534E-2</v>
      </c>
      <c r="R104" s="6"/>
      <c r="S104">
        <v>6530.580078</v>
      </c>
      <c r="T104" s="28">
        <f t="shared" si="25"/>
        <v>-1.5527161261156689E-3</v>
      </c>
      <c r="V104" s="6"/>
      <c r="W104">
        <v>90.900002000000001</v>
      </c>
      <c r="X104" s="27">
        <f t="shared" si="26"/>
        <v>-1.0121000877425769E-2</v>
      </c>
      <c r="Y104" s="26">
        <f t="shared" si="27"/>
        <v>-1.0121000877425769E-2</v>
      </c>
      <c r="Z104" s="6"/>
      <c r="AA104" t="s">
        <v>42</v>
      </c>
      <c r="AB104" s="27">
        <f t="shared" si="28"/>
        <v>-1</v>
      </c>
      <c r="AC104" s="26" t="str">
        <f t="shared" si="29"/>
        <v/>
      </c>
      <c r="AD104" s="6"/>
      <c r="AE104">
        <v>2150.6899410000001</v>
      </c>
      <c r="AF104" s="27">
        <f t="shared" si="30"/>
        <v>-1.7445573294751392E-2</v>
      </c>
      <c r="AG104" s="27">
        <f t="shared" si="31"/>
        <v>-1.7445573294751392E-2</v>
      </c>
      <c r="AH104" s="6"/>
      <c r="AI104">
        <v>41.028098999999997</v>
      </c>
      <c r="AJ104" s="27">
        <f t="shared" si="32"/>
        <v>-1.7816326318213546E-3</v>
      </c>
      <c r="AK104" s="27">
        <f t="shared" si="33"/>
        <v>-1.7816326318213546E-3</v>
      </c>
    </row>
    <row r="105" spans="1:37" ht="14.5" x14ac:dyDescent="0.35">
      <c r="A105" s="1">
        <v>44783</v>
      </c>
      <c r="B105" t="s">
        <v>42</v>
      </c>
      <c r="D105" s="12">
        <f t="shared" si="23"/>
        <v>-1</v>
      </c>
      <c r="E105" s="13" t="str">
        <f t="shared" si="17"/>
        <v/>
      </c>
      <c r="F105" s="6"/>
      <c r="G105" t="s">
        <v>42</v>
      </c>
      <c r="H105" s="9">
        <f t="shared" si="18"/>
        <v>-1</v>
      </c>
      <c r="I105" s="10" t="str">
        <f t="shared" si="19"/>
        <v/>
      </c>
      <c r="J105" s="6"/>
      <c r="K105">
        <v>232.33000200000001</v>
      </c>
      <c r="L105" s="9">
        <f t="shared" si="20"/>
        <v>-1</v>
      </c>
      <c r="M105" s="10" t="str">
        <f t="shared" si="24"/>
        <v/>
      </c>
      <c r="N105" s="6"/>
      <c r="O105">
        <v>133.990005</v>
      </c>
      <c r="P105" s="9">
        <f t="shared" si="21"/>
        <v>2.7240793072587709E-2</v>
      </c>
      <c r="Q105" s="10">
        <f t="shared" si="22"/>
        <v>2.7240793072587709E-2</v>
      </c>
      <c r="R105" s="6"/>
      <c r="S105">
        <v>6520.4399409999996</v>
      </c>
      <c r="T105" s="28">
        <f t="shared" si="25"/>
        <v>-1.0985436971759584E-2</v>
      </c>
      <c r="V105" s="6"/>
      <c r="W105">
        <v>89.980002999999996</v>
      </c>
      <c r="X105" s="27">
        <f t="shared" si="26"/>
        <v>6.3347408423625792E-3</v>
      </c>
      <c r="Y105" s="26">
        <f t="shared" si="27"/>
        <v>6.3347408423625792E-3</v>
      </c>
      <c r="Z105" s="6"/>
      <c r="AA105">
        <v>553.13000499999998</v>
      </c>
      <c r="AB105" s="27">
        <f t="shared" si="28"/>
        <v>-8.7502521220123725E-3</v>
      </c>
      <c r="AC105" s="26">
        <f t="shared" si="29"/>
        <v>-8.7502521220123725E-3</v>
      </c>
      <c r="AD105" s="6"/>
      <c r="AE105">
        <v>2113.169922</v>
      </c>
      <c r="AF105" s="27">
        <f t="shared" si="30"/>
        <v>2.3505050626969826E-2</v>
      </c>
      <c r="AG105" s="27">
        <f t="shared" si="31"/>
        <v>2.3505050626969826E-2</v>
      </c>
      <c r="AH105" s="6"/>
      <c r="AI105">
        <v>40.955002</v>
      </c>
      <c r="AJ105" s="27">
        <f t="shared" si="32"/>
        <v>2.5635452294691646E-2</v>
      </c>
      <c r="AK105" s="27">
        <f t="shared" si="33"/>
        <v>2.5635452294691646E-2</v>
      </c>
    </row>
    <row r="106" spans="1:37" ht="14.5" x14ac:dyDescent="0.35">
      <c r="A106" s="1">
        <v>44784</v>
      </c>
      <c r="B106">
        <v>53.447498000000003</v>
      </c>
      <c r="D106" s="12">
        <f t="shared" si="23"/>
        <v>2.8121054422408844E-5</v>
      </c>
      <c r="E106" s="13">
        <f t="shared" si="17"/>
        <v>2.8121054422408844E-5</v>
      </c>
      <c r="F106" s="6"/>
      <c r="G106">
        <v>1062.9499510000001</v>
      </c>
      <c r="H106" s="9">
        <f t="shared" si="18"/>
        <v>-4.1388684348327311E-4</v>
      </c>
      <c r="I106" s="10">
        <f t="shared" si="19"/>
        <v>-4.1388684348327311E-4</v>
      </c>
      <c r="J106" s="6"/>
      <c r="K106" t="s">
        <v>42</v>
      </c>
      <c r="L106" s="9">
        <f t="shared" si="20"/>
        <v>-1</v>
      </c>
      <c r="M106" s="10" t="str">
        <f t="shared" si="24"/>
        <v/>
      </c>
      <c r="N106" s="6"/>
      <c r="O106">
        <v>137.63999899999999</v>
      </c>
      <c r="P106" s="9">
        <f t="shared" si="21"/>
        <v>-1.8889421816980518E-3</v>
      </c>
      <c r="Q106" s="10">
        <f t="shared" si="22"/>
        <v>-1.8889421816980518E-3</v>
      </c>
      <c r="R106" s="6"/>
      <c r="S106">
        <v>6448.8100590000004</v>
      </c>
      <c r="T106" s="28">
        <f t="shared" si="25"/>
        <v>-1.8242146368665488E-2</v>
      </c>
      <c r="V106" s="6"/>
      <c r="W106">
        <v>90.550003000000004</v>
      </c>
      <c r="X106" s="27">
        <f t="shared" si="26"/>
        <v>-1</v>
      </c>
      <c r="Y106" s="26" t="str">
        <f t="shared" si="27"/>
        <v/>
      </c>
      <c r="Z106" s="6"/>
      <c r="AA106">
        <v>548.28997800000002</v>
      </c>
      <c r="AB106" s="27">
        <f t="shared" si="28"/>
        <v>-1</v>
      </c>
      <c r="AC106" s="26" t="str">
        <f t="shared" si="29"/>
        <v/>
      </c>
      <c r="AD106" s="6"/>
      <c r="AE106">
        <v>2162.8400879999999</v>
      </c>
      <c r="AF106" s="27">
        <f t="shared" si="30"/>
        <v>-3.7636333102772914E-3</v>
      </c>
      <c r="AG106" s="27">
        <f t="shared" si="31"/>
        <v>-3.7636333102772914E-3</v>
      </c>
      <c r="AH106" s="6"/>
      <c r="AI106">
        <v>42.004902000000001</v>
      </c>
      <c r="AJ106" s="27">
        <f t="shared" si="32"/>
        <v>-1</v>
      </c>
      <c r="AK106" s="27" t="str">
        <f t="shared" si="33"/>
        <v/>
      </c>
    </row>
    <row r="107" spans="1:37" ht="14.5" x14ac:dyDescent="0.35">
      <c r="A107" s="1">
        <v>44785</v>
      </c>
      <c r="B107">
        <v>53.449001000000003</v>
      </c>
      <c r="D107" s="12">
        <f t="shared" si="23"/>
        <v>-1.6838481228142229E-5</v>
      </c>
      <c r="E107" s="13">
        <f t="shared" si="17"/>
        <v>-1.6838481228142229E-5</v>
      </c>
      <c r="F107" s="6"/>
      <c r="G107">
        <v>1062.51001</v>
      </c>
      <c r="H107" s="9">
        <f t="shared" si="18"/>
        <v>-1.4119866974233414E-4</v>
      </c>
      <c r="I107" s="10">
        <f t="shared" si="19"/>
        <v>-1.4119866974233414E-4</v>
      </c>
      <c r="J107" s="6"/>
      <c r="K107">
        <v>233.41000399999999</v>
      </c>
      <c r="L107" s="9">
        <f t="shared" si="20"/>
        <v>-9.1255942911512185E-3</v>
      </c>
      <c r="M107" s="10">
        <f t="shared" si="24"/>
        <v>-9.1255942911512185E-3</v>
      </c>
      <c r="N107" s="6"/>
      <c r="O107">
        <v>137.38000500000001</v>
      </c>
      <c r="P107" s="9">
        <f t="shared" si="21"/>
        <v>1.4412548609239021E-2</v>
      </c>
      <c r="Q107" s="10">
        <f t="shared" si="22"/>
        <v>1.4412548609239021E-2</v>
      </c>
      <c r="R107" s="6"/>
      <c r="S107">
        <v>6331.169922</v>
      </c>
      <c r="T107" s="28">
        <f t="shared" si="25"/>
        <v>1.9905546929337406E-4</v>
      </c>
      <c r="V107" s="6"/>
      <c r="W107" t="s">
        <v>42</v>
      </c>
      <c r="X107" s="27">
        <f t="shared" si="26"/>
        <v>-1</v>
      </c>
      <c r="Y107" s="26" t="str">
        <f t="shared" si="27"/>
        <v/>
      </c>
      <c r="Z107" s="6"/>
      <c r="AA107" t="s">
        <v>42</v>
      </c>
      <c r="AB107" s="27">
        <f t="shared" si="28"/>
        <v>-1</v>
      </c>
      <c r="AC107" s="26" t="str">
        <f t="shared" si="29"/>
        <v/>
      </c>
      <c r="AD107" s="6"/>
      <c r="AE107">
        <v>2154.6999510000001</v>
      </c>
      <c r="AF107" s="27">
        <f t="shared" si="30"/>
        <v>2.6407457323045083E-2</v>
      </c>
      <c r="AG107" s="27">
        <f t="shared" si="31"/>
        <v>2.6407457323045083E-2</v>
      </c>
      <c r="AH107" s="6"/>
      <c r="AI107" t="s">
        <v>42</v>
      </c>
      <c r="AJ107" s="27">
        <f t="shared" si="32"/>
        <v>-1</v>
      </c>
      <c r="AK107" s="27" t="str">
        <f t="shared" si="33"/>
        <v/>
      </c>
    </row>
    <row r="108" spans="1:37" ht="14.5" x14ac:dyDescent="0.35">
      <c r="A108" s="1">
        <v>44788</v>
      </c>
      <c r="B108">
        <v>53.448101000000001</v>
      </c>
      <c r="D108" s="12">
        <f t="shared" si="23"/>
        <v>-5.8018899492816567E-5</v>
      </c>
      <c r="E108" s="13">
        <f t="shared" si="17"/>
        <v>-5.8018899492816567E-5</v>
      </c>
      <c r="F108" s="6"/>
      <c r="G108">
        <v>1062.3599850000001</v>
      </c>
      <c r="H108" s="9">
        <f t="shared" si="18"/>
        <v>-1</v>
      </c>
      <c r="I108" s="10" t="str">
        <f t="shared" si="19"/>
        <v/>
      </c>
      <c r="J108" s="6"/>
      <c r="K108">
        <v>231.279999</v>
      </c>
      <c r="L108" s="9">
        <f t="shared" si="20"/>
        <v>2.1618817111807406E-3</v>
      </c>
      <c r="M108" s="10">
        <f t="shared" si="24"/>
        <v>2.1618817111807406E-3</v>
      </c>
      <c r="N108" s="6"/>
      <c r="O108">
        <v>139.36000100000001</v>
      </c>
      <c r="P108" s="9">
        <f t="shared" si="21"/>
        <v>-1</v>
      </c>
      <c r="Q108" s="10" t="str">
        <f t="shared" si="22"/>
        <v/>
      </c>
      <c r="R108" s="6"/>
      <c r="S108">
        <v>6332.4301759999998</v>
      </c>
      <c r="T108" s="28">
        <f t="shared" si="25"/>
        <v>1.574908482654544E-2</v>
      </c>
      <c r="V108" s="6"/>
      <c r="W108">
        <v>89.639999000000003</v>
      </c>
      <c r="X108" s="27">
        <f t="shared" si="26"/>
        <v>-1.1155734171750715E-2</v>
      </c>
      <c r="Y108" s="26">
        <f t="shared" si="27"/>
        <v>-1.1155734171750715E-2</v>
      </c>
      <c r="Z108" s="6"/>
      <c r="AA108">
        <v>552.830017</v>
      </c>
      <c r="AB108" s="27">
        <f t="shared" si="28"/>
        <v>-1.1142727078077593E-2</v>
      </c>
      <c r="AC108" s="26">
        <f t="shared" si="29"/>
        <v>-1.1142727078077593E-2</v>
      </c>
      <c r="AD108" s="6"/>
      <c r="AE108">
        <v>2211.6000979999999</v>
      </c>
      <c r="AF108" s="27">
        <f t="shared" si="30"/>
        <v>-1</v>
      </c>
      <c r="AG108" s="27" t="str">
        <f t="shared" si="31"/>
        <v/>
      </c>
      <c r="AH108" s="6"/>
      <c r="AI108">
        <v>41.653998999999999</v>
      </c>
      <c r="AJ108" s="27">
        <f t="shared" si="32"/>
        <v>-1.6790656762631657E-2</v>
      </c>
      <c r="AK108" s="27">
        <f t="shared" si="33"/>
        <v>-1.6790656762631657E-2</v>
      </c>
    </row>
    <row r="109" spans="1:37" ht="14.5" x14ac:dyDescent="0.35">
      <c r="A109" s="1">
        <v>44789</v>
      </c>
      <c r="B109">
        <v>53.445</v>
      </c>
      <c r="D109" s="12">
        <f t="shared" si="23"/>
        <v>-1</v>
      </c>
      <c r="E109" s="13" t="str">
        <f t="shared" si="17"/>
        <v/>
      </c>
      <c r="F109" s="6"/>
      <c r="G109" t="s">
        <v>42</v>
      </c>
      <c r="H109" s="9">
        <f t="shared" si="18"/>
        <v>-1</v>
      </c>
      <c r="I109" s="10" t="str">
        <f t="shared" si="19"/>
        <v/>
      </c>
      <c r="J109" s="6"/>
      <c r="K109">
        <v>231.779999</v>
      </c>
      <c r="L109" s="9">
        <f t="shared" si="20"/>
        <v>-1.5316261175754011E-2</v>
      </c>
      <c r="M109" s="10">
        <f t="shared" si="24"/>
        <v>-1.5316261175754011E-2</v>
      </c>
      <c r="N109" s="6"/>
      <c r="O109" t="s">
        <v>42</v>
      </c>
      <c r="P109" s="9">
        <f t="shared" si="21"/>
        <v>-1</v>
      </c>
      <c r="Q109" s="10" t="str">
        <f t="shared" si="22"/>
        <v/>
      </c>
      <c r="R109" s="6"/>
      <c r="S109">
        <v>6432.1601559999999</v>
      </c>
      <c r="T109" s="28">
        <f t="shared" si="25"/>
        <v>-1.7739228693421725E-3</v>
      </c>
      <c r="V109" s="6"/>
      <c r="W109">
        <v>88.639999000000003</v>
      </c>
      <c r="X109" s="27">
        <f t="shared" si="26"/>
        <v>1.884024163854052E-2</v>
      </c>
      <c r="Y109" s="26">
        <f t="shared" si="27"/>
        <v>1.884024163854052E-2</v>
      </c>
      <c r="Z109" s="6"/>
      <c r="AA109">
        <v>546.669983</v>
      </c>
      <c r="AB109" s="27">
        <f t="shared" si="28"/>
        <v>-3.0548284192146728E-3</v>
      </c>
      <c r="AC109" s="26">
        <f t="shared" si="29"/>
        <v>-3.0548284192146728E-3</v>
      </c>
      <c r="AD109" s="6"/>
      <c r="AE109" t="s">
        <v>42</v>
      </c>
      <c r="AF109" s="27">
        <f t="shared" si="30"/>
        <v>-1</v>
      </c>
      <c r="AG109" s="27" t="str">
        <f t="shared" si="31"/>
        <v/>
      </c>
      <c r="AH109" s="6"/>
      <c r="AI109">
        <v>40.954600999999997</v>
      </c>
      <c r="AJ109" s="27">
        <f t="shared" si="32"/>
        <v>1.0406571901408635E-2</v>
      </c>
      <c r="AK109" s="27">
        <f t="shared" si="33"/>
        <v>1.0406571901408635E-2</v>
      </c>
    </row>
    <row r="110" spans="1:37" ht="14.5" x14ac:dyDescent="0.35">
      <c r="A110" s="1">
        <v>44790</v>
      </c>
      <c r="B110" t="s">
        <v>42</v>
      </c>
      <c r="D110" s="12">
        <f t="shared" si="23"/>
        <v>-1</v>
      </c>
      <c r="E110" s="13" t="str">
        <f t="shared" si="17"/>
        <v/>
      </c>
      <c r="F110" s="6"/>
      <c r="G110">
        <v>1065.73999</v>
      </c>
      <c r="H110" s="9">
        <f t="shared" si="18"/>
        <v>6.0992831844464623E-4</v>
      </c>
      <c r="I110" s="10">
        <f t="shared" si="19"/>
        <v>6.0992831844464623E-4</v>
      </c>
      <c r="J110" s="6"/>
      <c r="K110">
        <v>228.229996</v>
      </c>
      <c r="L110" s="9">
        <f t="shared" si="20"/>
        <v>-2.217060898515727E-2</v>
      </c>
      <c r="M110" s="10">
        <f t="shared" si="24"/>
        <v>-2.217060898515727E-2</v>
      </c>
      <c r="N110" s="6"/>
      <c r="O110">
        <v>138.550003</v>
      </c>
      <c r="P110" s="9">
        <f t="shared" si="21"/>
        <v>-2.9086964364771636E-2</v>
      </c>
      <c r="Q110" s="10">
        <f t="shared" si="22"/>
        <v>-2.9086964364771636E-2</v>
      </c>
      <c r="R110" s="6"/>
      <c r="S110">
        <v>6420.75</v>
      </c>
      <c r="T110" s="28">
        <f t="shared" si="25"/>
        <v>-3.451935319082667E-2</v>
      </c>
      <c r="V110" s="6"/>
      <c r="W110">
        <v>90.309997999999993</v>
      </c>
      <c r="X110" s="27">
        <f t="shared" si="26"/>
        <v>-3.3772517634204725E-2</v>
      </c>
      <c r="Y110" s="26">
        <f t="shared" si="27"/>
        <v>-3.3772517634204725E-2</v>
      </c>
      <c r="Z110" s="6"/>
      <c r="AA110">
        <v>545</v>
      </c>
      <c r="AB110" s="27">
        <f t="shared" si="28"/>
        <v>-2.0752289908256789E-2</v>
      </c>
      <c r="AC110" s="26">
        <f t="shared" si="29"/>
        <v>-2.0752289908256789E-2</v>
      </c>
      <c r="AD110" s="6"/>
      <c r="AE110">
        <v>2234.780029</v>
      </c>
      <c r="AF110" s="27">
        <f t="shared" si="30"/>
        <v>-1.0757228312424649E-2</v>
      </c>
      <c r="AG110" s="27">
        <f t="shared" si="31"/>
        <v>-1.0757228312424649E-2</v>
      </c>
      <c r="AH110" s="6"/>
      <c r="AI110">
        <v>41.380797999999999</v>
      </c>
      <c r="AJ110" s="27">
        <f t="shared" si="32"/>
        <v>-2.321120051865605E-2</v>
      </c>
      <c r="AK110" s="27">
        <f t="shared" si="33"/>
        <v>-2.321120051865605E-2</v>
      </c>
    </row>
    <row r="111" spans="1:37" ht="14.5" x14ac:dyDescent="0.35">
      <c r="A111" s="1">
        <v>44791</v>
      </c>
      <c r="B111">
        <v>53.439898999999997</v>
      </c>
      <c r="D111" s="12">
        <f t="shared" si="23"/>
        <v>-3.9259056234305432E-5</v>
      </c>
      <c r="E111" s="13">
        <f t="shared" si="17"/>
        <v>-3.9259056234305432E-5</v>
      </c>
      <c r="F111" s="6"/>
      <c r="G111">
        <v>1066.3900149999999</v>
      </c>
      <c r="H111" s="9">
        <f t="shared" si="18"/>
        <v>-9.659036426742021E-4</v>
      </c>
      <c r="I111" s="10">
        <f t="shared" si="19"/>
        <v>-9.659036426742021E-4</v>
      </c>
      <c r="J111" s="6"/>
      <c r="K111">
        <v>223.16999799999999</v>
      </c>
      <c r="L111" s="9">
        <f t="shared" si="20"/>
        <v>-7.0349599590890577E-3</v>
      </c>
      <c r="M111" s="10">
        <f t="shared" si="24"/>
        <v>-7.0349599590890577E-3</v>
      </c>
      <c r="N111" s="6"/>
      <c r="O111">
        <v>134.520004</v>
      </c>
      <c r="P111" s="9">
        <f t="shared" si="21"/>
        <v>4.1629347557855211E-3</v>
      </c>
      <c r="Q111" s="10">
        <f t="shared" si="22"/>
        <v>4.1629347557855211E-3</v>
      </c>
      <c r="R111" s="6"/>
      <c r="S111">
        <v>6199.1098629999997</v>
      </c>
      <c r="T111" s="28">
        <f t="shared" si="25"/>
        <v>7.0929885050821338E-3</v>
      </c>
      <c r="V111" s="6"/>
      <c r="W111">
        <v>87.260002</v>
      </c>
      <c r="X111" s="27">
        <f t="shared" si="26"/>
        <v>-1.7304629445229671E-2</v>
      </c>
      <c r="Y111" s="26">
        <f t="shared" si="27"/>
        <v>-1.7304629445229671E-2</v>
      </c>
      <c r="Z111" s="6"/>
      <c r="AA111">
        <v>533.69000200000005</v>
      </c>
      <c r="AB111" s="27">
        <f t="shared" si="28"/>
        <v>-2.3403080352252942E-2</v>
      </c>
      <c r="AC111" s="26">
        <f t="shared" si="29"/>
        <v>-2.3403080352252942E-2</v>
      </c>
      <c r="AD111" s="6"/>
      <c r="AE111">
        <v>2210.73999</v>
      </c>
      <c r="AF111" s="27">
        <f t="shared" si="30"/>
        <v>7.4318699052438129E-3</v>
      </c>
      <c r="AG111" s="27">
        <f t="shared" si="31"/>
        <v>7.4318699052438129E-3</v>
      </c>
      <c r="AH111" s="6"/>
      <c r="AI111">
        <v>40.420299999999997</v>
      </c>
      <c r="AJ111" s="27">
        <f t="shared" si="32"/>
        <v>-2.8310007595193424E-2</v>
      </c>
      <c r="AK111" s="27">
        <f t="shared" si="33"/>
        <v>-2.8310007595193424E-2</v>
      </c>
    </row>
    <row r="112" spans="1:37" ht="14.5" x14ac:dyDescent="0.35">
      <c r="A112" s="1">
        <v>44792</v>
      </c>
      <c r="B112">
        <v>53.437801</v>
      </c>
      <c r="D112" s="12">
        <f t="shared" si="23"/>
        <v>-2.2474727206716159E-5</v>
      </c>
      <c r="E112" s="13">
        <f t="shared" si="17"/>
        <v>-2.2474727206716159E-5</v>
      </c>
      <c r="F112" s="6"/>
      <c r="G112">
        <v>1065.3599850000001</v>
      </c>
      <c r="H112" s="9">
        <f t="shared" si="18"/>
        <v>-1.5862628818371564E-3</v>
      </c>
      <c r="I112" s="10">
        <f t="shared" si="19"/>
        <v>-1.5862628818371564E-3</v>
      </c>
      <c r="J112" s="6"/>
      <c r="K112">
        <v>221.60000600000001</v>
      </c>
      <c r="L112" s="9">
        <f t="shared" si="20"/>
        <v>3.3393049637372566E-3</v>
      </c>
      <c r="M112" s="10">
        <f t="shared" si="24"/>
        <v>3.3393049637372566E-3</v>
      </c>
      <c r="N112" s="6"/>
      <c r="O112">
        <v>135.08000200000001</v>
      </c>
      <c r="P112" s="9">
        <f t="shared" si="21"/>
        <v>-2.3763747057095976E-2</v>
      </c>
      <c r="Q112" s="10">
        <f t="shared" si="22"/>
        <v>-2.3763747057095976E-2</v>
      </c>
      <c r="R112" s="6"/>
      <c r="S112">
        <v>6243.080078</v>
      </c>
      <c r="T112" s="28">
        <f t="shared" si="25"/>
        <v>-2.5772285152482846E-3</v>
      </c>
      <c r="V112" s="6"/>
      <c r="W112">
        <v>85.75</v>
      </c>
      <c r="X112" s="27">
        <f t="shared" si="26"/>
        <v>6.9968513119525498E-4</v>
      </c>
      <c r="Y112" s="26">
        <f t="shared" si="27"/>
        <v>6.9968513119525498E-4</v>
      </c>
      <c r="Z112" s="6"/>
      <c r="AA112">
        <v>521.20001200000002</v>
      </c>
      <c r="AB112" s="27">
        <f t="shared" si="28"/>
        <v>-3.165817271700351E-3</v>
      </c>
      <c r="AC112" s="26">
        <f t="shared" si="29"/>
        <v>-3.165817271700351E-3</v>
      </c>
      <c r="AD112" s="6"/>
      <c r="AE112">
        <v>2227.169922</v>
      </c>
      <c r="AF112" s="27">
        <f t="shared" si="30"/>
        <v>-1.4273737574299002E-2</v>
      </c>
      <c r="AG112" s="27">
        <f t="shared" si="31"/>
        <v>-1.4273737574299002E-2</v>
      </c>
      <c r="AH112" s="6"/>
      <c r="AI112">
        <v>39.276001000000001</v>
      </c>
      <c r="AJ112" s="27">
        <f t="shared" si="32"/>
        <v>2.5384712664610646E-3</v>
      </c>
      <c r="AK112" s="27">
        <f t="shared" si="33"/>
        <v>2.5384712664610646E-3</v>
      </c>
    </row>
    <row r="113" spans="1:37" ht="14.5" x14ac:dyDescent="0.35">
      <c r="A113" s="1">
        <v>44795</v>
      </c>
      <c r="B113">
        <v>53.436599999999999</v>
      </c>
      <c r="D113" s="12">
        <f t="shared" si="23"/>
        <v>-9.3568827357145111E-6</v>
      </c>
      <c r="E113" s="13">
        <f t="shared" si="17"/>
        <v>-9.3568827357145111E-6</v>
      </c>
      <c r="F113" s="6"/>
      <c r="G113">
        <v>1063.670044</v>
      </c>
      <c r="H113" s="9">
        <f t="shared" si="18"/>
        <v>-1</v>
      </c>
      <c r="I113" s="10" t="str">
        <f t="shared" si="19"/>
        <v/>
      </c>
      <c r="J113" s="6"/>
      <c r="K113">
        <v>222.33999600000001</v>
      </c>
      <c r="L113" s="9">
        <f t="shared" si="20"/>
        <v>1.3133035227723895E-2</v>
      </c>
      <c r="M113" s="10">
        <f t="shared" si="24"/>
        <v>1.3133035227723895E-2</v>
      </c>
      <c r="N113" s="6"/>
      <c r="O113">
        <v>131.86999499999999</v>
      </c>
      <c r="P113" s="9">
        <f t="shared" si="21"/>
        <v>-1.3422226944044257E-2</v>
      </c>
      <c r="Q113" s="10">
        <f t="shared" si="22"/>
        <v>-1.3422226944044257E-2</v>
      </c>
      <c r="R113" s="6"/>
      <c r="S113">
        <v>6226.9902339999999</v>
      </c>
      <c r="T113" s="28">
        <f t="shared" si="25"/>
        <v>-2.5477860738202629E-2</v>
      </c>
      <c r="V113" s="6"/>
      <c r="W113">
        <v>85.809997999999993</v>
      </c>
      <c r="X113" s="27">
        <f t="shared" si="26"/>
        <v>9.439517758758181E-3</v>
      </c>
      <c r="Y113" s="26">
        <f t="shared" si="27"/>
        <v>9.439517758758181E-3</v>
      </c>
      <c r="Z113" s="6"/>
      <c r="AA113">
        <v>519.54998799999998</v>
      </c>
      <c r="AB113" s="27">
        <f t="shared" si="28"/>
        <v>1.5590357399836313E-3</v>
      </c>
      <c r="AC113" s="26">
        <f t="shared" si="29"/>
        <v>1.5590357399836313E-3</v>
      </c>
      <c r="AD113" s="6"/>
      <c r="AE113">
        <v>2195.3798830000001</v>
      </c>
      <c r="AF113" s="27">
        <f t="shared" si="30"/>
        <v>-1.9208485204107176E-2</v>
      </c>
      <c r="AG113" s="27">
        <f t="shared" si="31"/>
        <v>-1.9208485204107176E-2</v>
      </c>
      <c r="AH113" s="6"/>
      <c r="AI113">
        <v>39.375701999999997</v>
      </c>
      <c r="AJ113" s="27">
        <f t="shared" si="32"/>
        <v>1.107231053302946E-3</v>
      </c>
      <c r="AK113" s="27">
        <f t="shared" si="33"/>
        <v>1.107231053302946E-3</v>
      </c>
    </row>
    <row r="114" spans="1:37" ht="14.5" x14ac:dyDescent="0.35">
      <c r="A114" s="1">
        <v>44796</v>
      </c>
      <c r="B114">
        <v>53.436100000000003</v>
      </c>
      <c r="D114" s="12">
        <f t="shared" si="23"/>
        <v>-1</v>
      </c>
      <c r="E114" s="13" t="str">
        <f t="shared" si="17"/>
        <v/>
      </c>
      <c r="F114" s="6"/>
      <c r="G114" t="s">
        <v>42</v>
      </c>
      <c r="H114" s="9">
        <f t="shared" si="18"/>
        <v>-1</v>
      </c>
      <c r="I114" s="10" t="str">
        <f t="shared" si="19"/>
        <v/>
      </c>
      <c r="J114" s="6"/>
      <c r="K114">
        <v>225.259995</v>
      </c>
      <c r="L114" s="9">
        <f t="shared" si="20"/>
        <v>-3.5558888297054267E-2</v>
      </c>
      <c r="M114" s="10">
        <f t="shared" si="24"/>
        <v>-3.5558888297054267E-2</v>
      </c>
      <c r="N114" s="6"/>
      <c r="O114">
        <v>130.10000600000001</v>
      </c>
      <c r="P114" s="9">
        <f t="shared" si="21"/>
        <v>-7.9169788816151453E-3</v>
      </c>
      <c r="Q114" s="10">
        <f t="shared" si="22"/>
        <v>-7.9169788816151453E-3</v>
      </c>
      <c r="R114" s="6"/>
      <c r="S114">
        <v>6068.3398440000001</v>
      </c>
      <c r="T114" s="28">
        <f t="shared" si="25"/>
        <v>1.2178184132694701E-3</v>
      </c>
      <c r="V114" s="6"/>
      <c r="W114">
        <v>86.620002999999997</v>
      </c>
      <c r="X114" s="27">
        <f t="shared" si="26"/>
        <v>1.7778814900295072E-2</v>
      </c>
      <c r="Y114" s="26">
        <f t="shared" si="27"/>
        <v>1.7778814900295072E-2</v>
      </c>
      <c r="Z114" s="6"/>
      <c r="AA114">
        <v>520.35998500000005</v>
      </c>
      <c r="AB114" s="27">
        <f t="shared" si="28"/>
        <v>1.262589013257796E-2</v>
      </c>
      <c r="AC114" s="26">
        <f t="shared" si="29"/>
        <v>1.262589013257796E-2</v>
      </c>
      <c r="AD114" s="6"/>
      <c r="AE114">
        <v>2153.209961</v>
      </c>
      <c r="AF114" s="27">
        <f t="shared" si="30"/>
        <v>-7.430088235598917E-4</v>
      </c>
      <c r="AG114" s="27">
        <f t="shared" si="31"/>
        <v>-7.430088235598917E-4</v>
      </c>
      <c r="AH114" s="6"/>
      <c r="AI114">
        <v>39.4193</v>
      </c>
      <c r="AJ114" s="27">
        <f t="shared" si="32"/>
        <v>2.5041007831189305E-2</v>
      </c>
      <c r="AK114" s="27">
        <f t="shared" si="33"/>
        <v>2.5041007831189305E-2</v>
      </c>
    </row>
    <row r="115" spans="1:37" ht="14.5" x14ac:dyDescent="0.35">
      <c r="A115" s="1">
        <v>44797</v>
      </c>
      <c r="B115" t="s">
        <v>42</v>
      </c>
      <c r="D115" s="12">
        <f t="shared" si="23"/>
        <v>-1</v>
      </c>
      <c r="E115" s="13" t="str">
        <f t="shared" si="17"/>
        <v/>
      </c>
      <c r="F115" s="6"/>
      <c r="G115">
        <v>1058.7700199999999</v>
      </c>
      <c r="H115" s="9">
        <f t="shared" si="18"/>
        <v>-3.0412374162237677E-3</v>
      </c>
      <c r="I115" s="10">
        <f t="shared" si="19"/>
        <v>-3.0412374162237677E-3</v>
      </c>
      <c r="J115" s="6"/>
      <c r="K115">
        <v>217.25</v>
      </c>
      <c r="L115" s="9">
        <f t="shared" si="20"/>
        <v>-1.141540161104718E-2</v>
      </c>
      <c r="M115" s="10">
        <f t="shared" si="24"/>
        <v>-1.141540161104718E-2</v>
      </c>
      <c r="N115" s="6"/>
      <c r="O115">
        <v>129.070007</v>
      </c>
      <c r="P115" s="9">
        <f t="shared" si="21"/>
        <v>9.2968926545412476E-4</v>
      </c>
      <c r="Q115" s="10">
        <f t="shared" si="22"/>
        <v>9.2968926545412476E-4</v>
      </c>
      <c r="R115" s="6"/>
      <c r="S115">
        <v>6075.7299800000001</v>
      </c>
      <c r="T115" s="28">
        <f t="shared" si="25"/>
        <v>-4.5278123107109821E-3</v>
      </c>
      <c r="V115" s="6"/>
      <c r="W115">
        <v>88.160004000000001</v>
      </c>
      <c r="X115" s="27">
        <f t="shared" si="26"/>
        <v>-8.0536180556435143E-3</v>
      </c>
      <c r="Y115" s="26">
        <f t="shared" si="27"/>
        <v>-8.0536180556435143E-3</v>
      </c>
      <c r="Z115" s="6"/>
      <c r="AA115">
        <v>526.92999299999997</v>
      </c>
      <c r="AB115" s="27">
        <f t="shared" si="28"/>
        <v>8.8437440682940897E-3</v>
      </c>
      <c r="AC115" s="26">
        <f t="shared" si="29"/>
        <v>8.8437440682940897E-3</v>
      </c>
      <c r="AD115" s="6"/>
      <c r="AE115">
        <v>2151.610107</v>
      </c>
      <c r="AF115" s="27">
        <f t="shared" si="30"/>
        <v>5.1681635830873596E-3</v>
      </c>
      <c r="AG115" s="27">
        <f t="shared" si="31"/>
        <v>5.1681635830873596E-3</v>
      </c>
      <c r="AH115" s="6"/>
      <c r="AI115">
        <v>40.406399</v>
      </c>
      <c r="AJ115" s="27">
        <f t="shared" si="32"/>
        <v>-4.5651209849212185E-2</v>
      </c>
      <c r="AK115" s="27">
        <f t="shared" si="33"/>
        <v>-4.5651209849212185E-2</v>
      </c>
    </row>
    <row r="116" spans="1:37" ht="14.5" x14ac:dyDescent="0.35">
      <c r="A116" s="1">
        <v>44798</v>
      </c>
      <c r="B116">
        <v>53.435901999999999</v>
      </c>
      <c r="D116" s="12">
        <f t="shared" si="23"/>
        <v>3.7053739638302242E-6</v>
      </c>
      <c r="E116" s="13">
        <f t="shared" si="17"/>
        <v>3.7053739638302242E-6</v>
      </c>
      <c r="F116" s="6"/>
      <c r="G116">
        <v>1055.5500489999999</v>
      </c>
      <c r="H116" s="9">
        <f t="shared" si="18"/>
        <v>-2.008426793223537E-3</v>
      </c>
      <c r="I116" s="10">
        <f t="shared" si="19"/>
        <v>-2.008426793223537E-3</v>
      </c>
      <c r="J116" s="6"/>
      <c r="K116">
        <v>214.770004</v>
      </c>
      <c r="L116" s="9">
        <f t="shared" si="20"/>
        <v>-8.3810726194334089E-3</v>
      </c>
      <c r="M116" s="10">
        <f t="shared" si="24"/>
        <v>-8.3810726194334089E-3</v>
      </c>
      <c r="N116" s="6"/>
      <c r="O116">
        <v>129.19000199999999</v>
      </c>
      <c r="P116" s="9">
        <f t="shared" si="21"/>
        <v>-8.514590780793178E-4</v>
      </c>
      <c r="Q116" s="10">
        <f t="shared" si="22"/>
        <v>-8.514590780793178E-4</v>
      </c>
      <c r="R116" s="6"/>
      <c r="S116">
        <v>6048.2202150000003</v>
      </c>
      <c r="T116" s="28">
        <f t="shared" si="25"/>
        <v>5.7537265117585754E-3</v>
      </c>
      <c r="V116" s="6"/>
      <c r="W116">
        <v>87.449996999999996</v>
      </c>
      <c r="X116" s="27">
        <f t="shared" si="26"/>
        <v>-1.1778147916917475E-2</v>
      </c>
      <c r="Y116" s="26">
        <f t="shared" si="27"/>
        <v>-1.1778147916917475E-2</v>
      </c>
      <c r="Z116" s="6"/>
      <c r="AA116">
        <v>531.59002699999996</v>
      </c>
      <c r="AB116" s="27">
        <f t="shared" si="28"/>
        <v>-4.4903073397951354E-2</v>
      </c>
      <c r="AC116" s="26">
        <f t="shared" si="29"/>
        <v>-4.4903073397951354E-2</v>
      </c>
      <c r="AD116" s="6"/>
      <c r="AE116">
        <v>2162.7299800000001</v>
      </c>
      <c r="AF116" s="27">
        <f t="shared" si="30"/>
        <v>2.3377887885939377E-2</v>
      </c>
      <c r="AG116" s="27">
        <f t="shared" si="31"/>
        <v>2.3377887885939377E-2</v>
      </c>
      <c r="AH116" s="6"/>
      <c r="AI116">
        <v>38.561798000000003</v>
      </c>
      <c r="AJ116" s="27">
        <f t="shared" si="32"/>
        <v>-1.391270707864831E-2</v>
      </c>
      <c r="AK116" s="27">
        <f t="shared" si="33"/>
        <v>-1.391270707864831E-2</v>
      </c>
    </row>
    <row r="117" spans="1:37" ht="14.5" x14ac:dyDescent="0.35">
      <c r="A117" s="1">
        <v>44799</v>
      </c>
      <c r="B117">
        <v>53.436100000000003</v>
      </c>
      <c r="D117" s="12">
        <f t="shared" si="23"/>
        <v>-8.045123053522171E-5</v>
      </c>
      <c r="E117" s="13">
        <f t="shared" si="17"/>
        <v>-8.045123053522171E-5</v>
      </c>
      <c r="F117" s="6"/>
      <c r="G117">
        <v>1053.4300539999999</v>
      </c>
      <c r="H117" s="9">
        <f t="shared" si="18"/>
        <v>-1</v>
      </c>
      <c r="I117" s="10" t="str">
        <f t="shared" si="19"/>
        <v/>
      </c>
      <c r="J117" s="6"/>
      <c r="K117">
        <v>212.970001</v>
      </c>
      <c r="L117" s="9">
        <f t="shared" si="20"/>
        <v>-7.8884725177795663E-3</v>
      </c>
      <c r="M117" s="10">
        <f t="shared" si="24"/>
        <v>-7.8884725177795663E-3</v>
      </c>
      <c r="N117" s="6"/>
      <c r="O117">
        <v>129.08000200000001</v>
      </c>
      <c r="P117" s="9">
        <f t="shared" si="21"/>
        <v>-1.8593135751578317E-2</v>
      </c>
      <c r="Q117" s="10">
        <f t="shared" si="22"/>
        <v>-1.8593135751578317E-2</v>
      </c>
      <c r="R117" s="6"/>
      <c r="S117">
        <v>6083.0200199999999</v>
      </c>
      <c r="T117" s="28">
        <f t="shared" si="25"/>
        <v>-3.8434663905642726E-3</v>
      </c>
      <c r="V117" s="6"/>
      <c r="W117">
        <v>86.419998000000007</v>
      </c>
      <c r="X117" s="27">
        <f t="shared" si="26"/>
        <v>-1.0182793570534483E-2</v>
      </c>
      <c r="Y117" s="26">
        <f t="shared" si="27"/>
        <v>-1.0182793570534483E-2</v>
      </c>
      <c r="Z117" s="6"/>
      <c r="AA117">
        <v>507.72000100000002</v>
      </c>
      <c r="AB117" s="27">
        <f t="shared" si="28"/>
        <v>-6.7753919349733266E-3</v>
      </c>
      <c r="AC117" s="26">
        <f t="shared" si="29"/>
        <v>-6.7753919349733266E-3</v>
      </c>
      <c r="AD117" s="6"/>
      <c r="AE117">
        <v>2213.290039</v>
      </c>
      <c r="AF117" s="27">
        <f t="shared" si="30"/>
        <v>-4.0771877345443581E-2</v>
      </c>
      <c r="AG117" s="27">
        <f t="shared" si="31"/>
        <v>-4.0771877345443581E-2</v>
      </c>
      <c r="AH117" s="6"/>
      <c r="AI117">
        <v>38.025298999999997</v>
      </c>
      <c r="AJ117" s="27">
        <f t="shared" si="32"/>
        <v>-8.1655373702649407E-3</v>
      </c>
      <c r="AK117" s="27">
        <f t="shared" si="33"/>
        <v>-8.1655373702649407E-3</v>
      </c>
    </row>
    <row r="118" spans="1:37" ht="14.5" x14ac:dyDescent="0.35">
      <c r="A118" s="1">
        <v>44802</v>
      </c>
      <c r="B118">
        <v>53.431801</v>
      </c>
      <c r="D118" s="12">
        <f t="shared" si="23"/>
        <v>-3.5559347887209054E-5</v>
      </c>
      <c r="E118" s="13">
        <f t="shared" si="17"/>
        <v>-3.5559347887209054E-5</v>
      </c>
      <c r="F118" s="6"/>
      <c r="G118" t="s">
        <v>42</v>
      </c>
      <c r="H118" s="9">
        <f t="shared" si="18"/>
        <v>-1</v>
      </c>
      <c r="I118" s="10" t="str">
        <f t="shared" si="19"/>
        <v/>
      </c>
      <c r="J118" s="6"/>
      <c r="K118">
        <v>211.28999300000001</v>
      </c>
      <c r="L118" s="9">
        <f t="shared" si="20"/>
        <v>-5.8213594621114037E-3</v>
      </c>
      <c r="M118" s="10">
        <f t="shared" si="24"/>
        <v>-5.8213594621114037E-3</v>
      </c>
      <c r="N118" s="6"/>
      <c r="O118">
        <v>126.68</v>
      </c>
      <c r="P118" s="9">
        <f t="shared" si="21"/>
        <v>-3.9469529523208082E-3</v>
      </c>
      <c r="Q118" s="10">
        <f t="shared" si="22"/>
        <v>-3.9469529523208082E-3</v>
      </c>
      <c r="R118" s="6"/>
      <c r="S118">
        <v>6059.6401370000003</v>
      </c>
      <c r="T118" s="28">
        <f t="shared" si="25"/>
        <v>1.2754889276026247E-2</v>
      </c>
      <c r="V118" s="6"/>
      <c r="W118">
        <v>85.540001000000004</v>
      </c>
      <c r="X118" s="27">
        <f t="shared" si="26"/>
        <v>1.0520925759633707E-3</v>
      </c>
      <c r="Y118" s="26">
        <f t="shared" si="27"/>
        <v>1.0520925759633707E-3</v>
      </c>
      <c r="Z118" s="6"/>
      <c r="AA118">
        <v>504.27999899999998</v>
      </c>
      <c r="AB118" s="27">
        <f t="shared" si="28"/>
        <v>-1</v>
      </c>
      <c r="AC118" s="26" t="str">
        <f t="shared" si="29"/>
        <v/>
      </c>
      <c r="AD118" s="6"/>
      <c r="AE118">
        <v>2123.0500489999999</v>
      </c>
      <c r="AF118" s="27">
        <f t="shared" si="30"/>
        <v>-1.2769415404393915E-2</v>
      </c>
      <c r="AG118" s="27">
        <f t="shared" si="31"/>
        <v>-1.2769415404393915E-2</v>
      </c>
      <c r="AH118" s="6"/>
      <c r="AI118">
        <v>37.714801999999999</v>
      </c>
      <c r="AJ118" s="27">
        <f t="shared" si="32"/>
        <v>-9.3438645124001418E-3</v>
      </c>
      <c r="AK118" s="27">
        <f t="shared" si="33"/>
        <v>-9.3438645124001418E-3</v>
      </c>
    </row>
    <row r="119" spans="1:37" ht="14.5" x14ac:dyDescent="0.35">
      <c r="A119" s="1">
        <v>44803</v>
      </c>
      <c r="B119">
        <v>53.429901000000001</v>
      </c>
      <c r="D119" s="12">
        <f t="shared" si="23"/>
        <v>-1</v>
      </c>
      <c r="E119" s="13" t="str">
        <f t="shared" si="17"/>
        <v/>
      </c>
      <c r="F119" s="6"/>
      <c r="G119">
        <v>1053.170044</v>
      </c>
      <c r="H119" s="9">
        <f t="shared" si="18"/>
        <v>-1</v>
      </c>
      <c r="I119" s="10" t="str">
        <f t="shared" si="19"/>
        <v/>
      </c>
      <c r="J119" s="6"/>
      <c r="K119">
        <v>210.05999800000001</v>
      </c>
      <c r="L119" s="9">
        <f t="shared" si="20"/>
        <v>-5.9506808145356636E-3</v>
      </c>
      <c r="M119" s="10">
        <f t="shared" si="24"/>
        <v>-5.9506808145356636E-3</v>
      </c>
      <c r="N119" s="6"/>
      <c r="O119">
        <v>126.18</v>
      </c>
      <c r="P119" s="9">
        <f t="shared" si="21"/>
        <v>-4.3588762085909321E-3</v>
      </c>
      <c r="Q119" s="10">
        <f t="shared" si="22"/>
        <v>-4.3588762085909321E-3</v>
      </c>
      <c r="R119" s="6"/>
      <c r="S119">
        <v>6136.9301759999998</v>
      </c>
      <c r="T119" s="28">
        <f t="shared" si="25"/>
        <v>6.4200518614480396E-4</v>
      </c>
      <c r="V119" s="6"/>
      <c r="W119">
        <v>85.629997000000003</v>
      </c>
      <c r="X119" s="27">
        <f t="shared" si="26"/>
        <v>-1.2495609453308866E-2</v>
      </c>
      <c r="Y119" s="26">
        <f t="shared" si="27"/>
        <v>-1.2495609453308866E-2</v>
      </c>
      <c r="Z119" s="6"/>
      <c r="AA119" t="s">
        <v>42</v>
      </c>
      <c r="AB119" s="27">
        <f t="shared" si="28"/>
        <v>-1</v>
      </c>
      <c r="AC119" s="26" t="str">
        <f t="shared" si="29"/>
        <v/>
      </c>
      <c r="AD119" s="6"/>
      <c r="AE119">
        <v>2095.9399410000001</v>
      </c>
      <c r="AF119" s="27">
        <f t="shared" si="30"/>
        <v>-5.7682201495869107E-3</v>
      </c>
      <c r="AG119" s="27">
        <f t="shared" si="31"/>
        <v>-5.7682201495869107E-3</v>
      </c>
      <c r="AH119" s="6"/>
      <c r="AI119">
        <v>37.362400000000001</v>
      </c>
      <c r="AJ119" s="27">
        <f t="shared" si="32"/>
        <v>-1.0253597199323422E-2</v>
      </c>
      <c r="AK119" s="27">
        <f t="shared" si="33"/>
        <v>-1.0253597199323422E-2</v>
      </c>
    </row>
    <row r="120" spans="1:37" ht="14.5" x14ac:dyDescent="0.35">
      <c r="A120" s="1">
        <v>44804</v>
      </c>
      <c r="B120" t="s">
        <v>42</v>
      </c>
      <c r="D120" s="12">
        <f t="shared" si="23"/>
        <v>-1</v>
      </c>
      <c r="E120" s="13" t="str">
        <f t="shared" si="17"/>
        <v/>
      </c>
      <c r="F120" s="6"/>
      <c r="G120" t="s">
        <v>42</v>
      </c>
      <c r="H120" s="9">
        <f t="shared" si="18"/>
        <v>-1</v>
      </c>
      <c r="I120" s="10" t="str">
        <f t="shared" si="19"/>
        <v/>
      </c>
      <c r="J120" s="6"/>
      <c r="K120">
        <v>208.80999800000001</v>
      </c>
      <c r="L120" s="9">
        <f t="shared" si="20"/>
        <v>-1</v>
      </c>
      <c r="M120" s="10" t="str">
        <f t="shared" si="24"/>
        <v/>
      </c>
      <c r="N120" s="6"/>
      <c r="O120">
        <v>125.629997</v>
      </c>
      <c r="P120" s="9">
        <f t="shared" si="21"/>
        <v>-4.9350872785581847E-3</v>
      </c>
      <c r="Q120" s="10">
        <f t="shared" si="22"/>
        <v>-4.9350872785581847E-3</v>
      </c>
      <c r="R120" s="6"/>
      <c r="S120">
        <v>6140.8701170000004</v>
      </c>
      <c r="T120" s="28">
        <f t="shared" si="25"/>
        <v>1.6543232809755122E-2</v>
      </c>
      <c r="V120" s="6"/>
      <c r="W120">
        <v>84.559997999999993</v>
      </c>
      <c r="X120" s="27">
        <f t="shared" si="26"/>
        <v>-1.6438032555298625E-2</v>
      </c>
      <c r="Y120" s="26">
        <f t="shared" si="27"/>
        <v>-1.6438032555298625E-2</v>
      </c>
      <c r="Z120" s="6"/>
      <c r="AA120">
        <v>482.05999800000001</v>
      </c>
      <c r="AB120" s="27">
        <f t="shared" si="28"/>
        <v>3.2776355776361222E-3</v>
      </c>
      <c r="AC120" s="26">
        <f t="shared" si="29"/>
        <v>3.2776355776361222E-3</v>
      </c>
      <c r="AD120" s="6"/>
      <c r="AE120">
        <v>2083.8500979999999</v>
      </c>
      <c r="AF120" s="27">
        <f t="shared" si="30"/>
        <v>-1.2932886115880194E-2</v>
      </c>
      <c r="AG120" s="27">
        <f t="shared" si="31"/>
        <v>-1.2932886115880194E-2</v>
      </c>
      <c r="AH120" s="6"/>
      <c r="AI120">
        <v>36.979301</v>
      </c>
      <c r="AJ120" s="27">
        <f t="shared" si="32"/>
        <v>-7.309521615889829E-3</v>
      </c>
      <c r="AK120" s="27">
        <f t="shared" si="33"/>
        <v>-7.309521615889829E-3</v>
      </c>
    </row>
    <row r="121" spans="1:37" ht="14.5" x14ac:dyDescent="0.35">
      <c r="A121" s="1">
        <v>44805</v>
      </c>
      <c r="B121">
        <v>53.428199999999997</v>
      </c>
      <c r="D121" s="12">
        <f t="shared" si="23"/>
        <v>-1.8529540579457851E-6</v>
      </c>
      <c r="E121" s="13">
        <f t="shared" si="17"/>
        <v>-1.8529540579457851E-6</v>
      </c>
      <c r="F121" s="6"/>
      <c r="G121">
        <v>1043.040039</v>
      </c>
      <c r="H121" s="9">
        <f t="shared" si="18"/>
        <v>-3.0104453161840209E-3</v>
      </c>
      <c r="I121" s="10">
        <f t="shared" si="19"/>
        <v>-3.0104453161840209E-3</v>
      </c>
      <c r="J121" s="6"/>
      <c r="K121" t="s">
        <v>42</v>
      </c>
      <c r="L121" s="9">
        <f t="shared" si="20"/>
        <v>-1</v>
      </c>
      <c r="M121" s="10" t="str">
        <f t="shared" si="24"/>
        <v/>
      </c>
      <c r="N121" s="6"/>
      <c r="O121">
        <v>125.010002</v>
      </c>
      <c r="P121" s="9">
        <f t="shared" si="21"/>
        <v>-2.7117822140343643E-2</v>
      </c>
      <c r="Q121" s="10">
        <f t="shared" si="22"/>
        <v>-2.7117822140343643E-2</v>
      </c>
      <c r="R121" s="6"/>
      <c r="S121">
        <v>6242.4599609999996</v>
      </c>
      <c r="T121" s="28">
        <f t="shared" si="25"/>
        <v>1.887879117147305E-2</v>
      </c>
      <c r="V121" s="6"/>
      <c r="W121">
        <v>83.169998000000007</v>
      </c>
      <c r="X121" s="27">
        <f t="shared" si="26"/>
        <v>1.695327682946423E-2</v>
      </c>
      <c r="Y121" s="26">
        <f t="shared" si="27"/>
        <v>1.695327682946423E-2</v>
      </c>
      <c r="Z121" s="6"/>
      <c r="AA121">
        <v>483.64001500000001</v>
      </c>
      <c r="AB121" s="27">
        <f t="shared" si="28"/>
        <v>-1.242661858738058E-2</v>
      </c>
      <c r="AC121" s="26">
        <f t="shared" si="29"/>
        <v>-1.242661858738058E-2</v>
      </c>
      <c r="AD121" s="6"/>
      <c r="AE121">
        <v>2056.8999020000001</v>
      </c>
      <c r="AF121" s="27">
        <f t="shared" si="30"/>
        <v>-2.9752896551016013E-3</v>
      </c>
      <c r="AG121" s="27">
        <f t="shared" si="31"/>
        <v>-2.9752896551016013E-3</v>
      </c>
      <c r="AH121" s="6"/>
      <c r="AI121">
        <v>36.709000000000003</v>
      </c>
      <c r="AJ121" s="27">
        <f t="shared" si="32"/>
        <v>-9.4908605519083908E-3</v>
      </c>
      <c r="AK121" s="27">
        <f t="shared" si="33"/>
        <v>-9.4908605519083908E-3</v>
      </c>
    </row>
    <row r="122" spans="1:37" ht="14.5" x14ac:dyDescent="0.35">
      <c r="A122" s="1">
        <v>44806</v>
      </c>
      <c r="B122">
        <v>53.428100999999998</v>
      </c>
      <c r="D122" s="12">
        <f t="shared" si="23"/>
        <v>3.1762311746772723E-5</v>
      </c>
      <c r="E122" s="13">
        <f t="shared" si="17"/>
        <v>3.1762311746772723E-5</v>
      </c>
      <c r="F122" s="6"/>
      <c r="G122">
        <v>1039.900024</v>
      </c>
      <c r="H122" s="9">
        <f t="shared" si="18"/>
        <v>-4.8562822227611185E-3</v>
      </c>
      <c r="I122" s="10">
        <f t="shared" si="19"/>
        <v>-4.8562822227611185E-3</v>
      </c>
      <c r="J122" s="6"/>
      <c r="K122">
        <v>207.720001</v>
      </c>
      <c r="L122" s="9">
        <f t="shared" si="20"/>
        <v>1.4875779824399341E-2</v>
      </c>
      <c r="M122" s="10">
        <f t="shared" si="24"/>
        <v>1.4875779824399341E-2</v>
      </c>
      <c r="N122" s="6"/>
      <c r="O122">
        <v>121.620003</v>
      </c>
      <c r="P122" s="9">
        <f t="shared" si="21"/>
        <v>1.6937978533021494E-2</v>
      </c>
      <c r="Q122" s="10">
        <f t="shared" si="22"/>
        <v>1.6937978533021494E-2</v>
      </c>
      <c r="R122" s="6"/>
      <c r="S122">
        <v>6360.3100590000004</v>
      </c>
      <c r="T122" s="28">
        <f t="shared" si="25"/>
        <v>-2.3511438532528375E-2</v>
      </c>
      <c r="V122" s="6"/>
      <c r="W122">
        <v>84.580001999999993</v>
      </c>
      <c r="X122" s="27">
        <f t="shared" si="26"/>
        <v>4.9420665655694918E-2</v>
      </c>
      <c r="Y122" s="26">
        <f t="shared" si="27"/>
        <v>4.9420665655694918E-2</v>
      </c>
      <c r="Z122" s="6"/>
      <c r="AA122">
        <v>477.63000499999998</v>
      </c>
      <c r="AB122" s="27">
        <f t="shared" si="28"/>
        <v>4.1454263326693892E-3</v>
      </c>
      <c r="AC122" s="26">
        <f t="shared" si="29"/>
        <v>4.1454263326693892E-3</v>
      </c>
      <c r="AD122" s="6"/>
      <c r="AE122">
        <v>2050.780029</v>
      </c>
      <c r="AF122" s="27">
        <f t="shared" si="30"/>
        <v>-1.5740366369639547E-2</v>
      </c>
      <c r="AG122" s="27">
        <f t="shared" si="31"/>
        <v>-1.5740366369639547E-2</v>
      </c>
      <c r="AH122" s="6"/>
      <c r="AI122">
        <v>36.360599999999998</v>
      </c>
      <c r="AJ122" s="27">
        <f t="shared" si="32"/>
        <v>1.6039394289423168E-2</v>
      </c>
      <c r="AK122" s="27">
        <f t="shared" si="33"/>
        <v>1.6039394289423168E-2</v>
      </c>
    </row>
    <row r="123" spans="1:37" ht="14.5" x14ac:dyDescent="0.35">
      <c r="A123" s="1">
        <v>44809</v>
      </c>
      <c r="B123">
        <v>53.429797999999998</v>
      </c>
      <c r="D123" s="12">
        <f t="shared" si="23"/>
        <v>-1</v>
      </c>
      <c r="E123" s="13" t="str">
        <f t="shared" si="17"/>
        <v/>
      </c>
      <c r="F123" s="6"/>
      <c r="G123">
        <v>1034.849976</v>
      </c>
      <c r="H123" s="9">
        <f t="shared" si="18"/>
        <v>-2.2901831714396263E-3</v>
      </c>
      <c r="I123" s="10">
        <f t="shared" si="19"/>
        <v>-2.2901831714396263E-3</v>
      </c>
      <c r="J123" s="6"/>
      <c r="K123">
        <v>210.80999800000001</v>
      </c>
      <c r="L123" s="9">
        <f t="shared" si="20"/>
        <v>8.9654144392145429E-3</v>
      </c>
      <c r="M123" s="10">
        <f t="shared" si="24"/>
        <v>8.9654144392145429E-3</v>
      </c>
      <c r="N123" s="6"/>
      <c r="O123">
        <v>123.68</v>
      </c>
      <c r="P123" s="9">
        <f t="shared" si="21"/>
        <v>-1.3906864489003965E-2</v>
      </c>
      <c r="Q123" s="10">
        <f t="shared" si="22"/>
        <v>-1.3906864489003965E-2</v>
      </c>
      <c r="R123" s="6"/>
      <c r="S123">
        <v>6210.7700199999999</v>
      </c>
      <c r="T123" s="28">
        <f t="shared" si="25"/>
        <v>2.3184580903216814E-4</v>
      </c>
      <c r="V123" s="6"/>
      <c r="W123">
        <v>88.760002</v>
      </c>
      <c r="X123" s="27">
        <f t="shared" si="26"/>
        <v>-1.351994111041108E-3</v>
      </c>
      <c r="Y123" s="26">
        <f t="shared" si="27"/>
        <v>-1.351994111041108E-3</v>
      </c>
      <c r="Z123" s="6"/>
      <c r="AA123">
        <v>479.60998499999999</v>
      </c>
      <c r="AB123" s="27">
        <f t="shared" si="28"/>
        <v>2.1746886691693883E-2</v>
      </c>
      <c r="AC123" s="26">
        <f t="shared" si="29"/>
        <v>2.1746886691693883E-2</v>
      </c>
      <c r="AD123" s="6"/>
      <c r="AE123">
        <v>2018.5</v>
      </c>
      <c r="AF123" s="27">
        <f t="shared" si="30"/>
        <v>9.2345875650235061E-3</v>
      </c>
      <c r="AG123" s="27">
        <f t="shared" si="31"/>
        <v>9.2345875650235061E-3</v>
      </c>
      <c r="AH123" s="6"/>
      <c r="AI123">
        <v>36.943801999999998</v>
      </c>
      <c r="AJ123" s="27">
        <f t="shared" si="32"/>
        <v>9.6362307268754895E-3</v>
      </c>
      <c r="AK123" s="27">
        <f t="shared" si="33"/>
        <v>9.6362307268754895E-3</v>
      </c>
    </row>
    <row r="124" spans="1:37" ht="14.5" x14ac:dyDescent="0.35">
      <c r="A124" s="1">
        <v>44810</v>
      </c>
      <c r="B124" t="s">
        <v>42</v>
      </c>
      <c r="D124" s="12">
        <f t="shared" si="23"/>
        <v>-1</v>
      </c>
      <c r="E124" s="13" t="str">
        <f t="shared" si="17"/>
        <v/>
      </c>
      <c r="F124" s="6"/>
      <c r="G124">
        <v>1032.4799800000001</v>
      </c>
      <c r="H124" s="9">
        <f t="shared" si="18"/>
        <v>-1.0652506792436935E-4</v>
      </c>
      <c r="I124" s="10">
        <f t="shared" si="19"/>
        <v>-1.0652506792436935E-4</v>
      </c>
      <c r="J124" s="6"/>
      <c r="K124">
        <v>212.699997</v>
      </c>
      <c r="L124" s="9">
        <f t="shared" si="20"/>
        <v>1.7113300664503617E-2</v>
      </c>
      <c r="M124" s="10">
        <f t="shared" si="24"/>
        <v>1.7113300664503617E-2</v>
      </c>
      <c r="N124" s="6"/>
      <c r="O124">
        <v>121.959999</v>
      </c>
      <c r="P124" s="9">
        <f t="shared" si="21"/>
        <v>2.7058216030323799E-3</v>
      </c>
      <c r="Q124" s="10">
        <f t="shared" si="22"/>
        <v>2.7058216030323799E-3</v>
      </c>
      <c r="R124" s="6"/>
      <c r="S124">
        <v>6212.2099609999996</v>
      </c>
      <c r="T124" s="28">
        <f t="shared" si="25"/>
        <v>-1.7935633647202662E-2</v>
      </c>
      <c r="V124" s="6"/>
      <c r="W124">
        <v>88.639999000000003</v>
      </c>
      <c r="X124" s="27">
        <f t="shared" si="26"/>
        <v>0</v>
      </c>
      <c r="Y124" s="26">
        <f t="shared" si="27"/>
        <v>0</v>
      </c>
      <c r="Z124" s="6"/>
      <c r="AA124">
        <v>490.040009</v>
      </c>
      <c r="AB124" s="27">
        <f t="shared" si="28"/>
        <v>2.9997511897033657E-2</v>
      </c>
      <c r="AC124" s="26">
        <f t="shared" si="29"/>
        <v>2.9997511897033657E-2</v>
      </c>
      <c r="AD124" s="6"/>
      <c r="AE124">
        <v>2037.1400149999999</v>
      </c>
      <c r="AF124" s="27">
        <f t="shared" si="30"/>
        <v>-4.7713809205205699E-3</v>
      </c>
      <c r="AG124" s="27">
        <f t="shared" si="31"/>
        <v>-4.7713809205205699E-3</v>
      </c>
      <c r="AH124" s="6"/>
      <c r="AI124">
        <v>37.299801000000002</v>
      </c>
      <c r="AJ124" s="27">
        <f t="shared" si="32"/>
        <v>2.084196106032838E-2</v>
      </c>
      <c r="AK124" s="27">
        <f t="shared" si="33"/>
        <v>2.084196106032838E-2</v>
      </c>
    </row>
    <row r="125" spans="1:37" ht="14.5" x14ac:dyDescent="0.35">
      <c r="A125" s="1">
        <v>44811</v>
      </c>
      <c r="B125">
        <v>53.427199999999999</v>
      </c>
      <c r="D125" s="12">
        <f t="shared" si="23"/>
        <v>1.8529887397943181E-6</v>
      </c>
      <c r="E125" s="13">
        <f t="shared" si="17"/>
        <v>1.8529887397943181E-6</v>
      </c>
      <c r="F125" s="6"/>
      <c r="G125">
        <v>1032.369995</v>
      </c>
      <c r="H125" s="9">
        <f t="shared" si="18"/>
        <v>-1</v>
      </c>
      <c r="I125" s="10" t="str">
        <f t="shared" si="19"/>
        <v/>
      </c>
      <c r="J125" s="6"/>
      <c r="K125">
        <v>216.33999600000001</v>
      </c>
      <c r="L125" s="9">
        <f t="shared" si="20"/>
        <v>8.9211797896122103E-3</v>
      </c>
      <c r="M125" s="10">
        <f t="shared" si="24"/>
        <v>8.9211797896122103E-3</v>
      </c>
      <c r="N125" s="6"/>
      <c r="O125">
        <v>122.290001</v>
      </c>
      <c r="P125" s="9">
        <f t="shared" si="21"/>
        <v>-4.6610515605442458E-3</v>
      </c>
      <c r="Q125" s="10">
        <f t="shared" si="22"/>
        <v>-4.6610515605442458E-3</v>
      </c>
      <c r="R125" s="6"/>
      <c r="S125">
        <v>6100.7900390000004</v>
      </c>
      <c r="T125" s="28">
        <f t="shared" si="25"/>
        <v>-8.4890708693344079E-3</v>
      </c>
      <c r="V125" s="6"/>
      <c r="W125">
        <v>88.639999000000003</v>
      </c>
      <c r="X125" s="27">
        <f t="shared" si="26"/>
        <v>-2.8203971437319171E-3</v>
      </c>
      <c r="Y125" s="26">
        <f t="shared" si="27"/>
        <v>-2.8203971437319171E-3</v>
      </c>
      <c r="Z125" s="6"/>
      <c r="AA125">
        <v>504.73998999999998</v>
      </c>
      <c r="AB125" s="27">
        <f t="shared" si="28"/>
        <v>1.8187568217053744E-2</v>
      </c>
      <c r="AC125" s="26">
        <f t="shared" si="29"/>
        <v>1.8187568217053744E-2</v>
      </c>
      <c r="AD125" s="6"/>
      <c r="AE125">
        <v>2027.420044</v>
      </c>
      <c r="AF125" s="27">
        <f t="shared" si="30"/>
        <v>1.7894617894978301E-2</v>
      </c>
      <c r="AG125" s="27">
        <f t="shared" si="31"/>
        <v>1.7894617894978301E-2</v>
      </c>
      <c r="AH125" s="6"/>
      <c r="AI125">
        <v>38.077202</v>
      </c>
      <c r="AJ125" s="27">
        <f t="shared" si="32"/>
        <v>7.9260025460904417E-3</v>
      </c>
      <c r="AK125" s="27">
        <f t="shared" si="33"/>
        <v>7.9260025460904417E-3</v>
      </c>
    </row>
    <row r="126" spans="1:37" ht="14.5" x14ac:dyDescent="0.35">
      <c r="A126" s="1">
        <v>44812</v>
      </c>
      <c r="B126">
        <v>53.427298999999998</v>
      </c>
      <c r="D126" s="12">
        <f t="shared" si="23"/>
        <v>-5.9894474545674633E-5</v>
      </c>
      <c r="E126" s="13">
        <f t="shared" si="17"/>
        <v>-5.9894474545674633E-5</v>
      </c>
      <c r="F126" s="6"/>
      <c r="G126" t="s">
        <v>42</v>
      </c>
      <c r="H126" s="9">
        <f t="shared" si="18"/>
        <v>-1</v>
      </c>
      <c r="I126" s="10" t="str">
        <f t="shared" si="19"/>
        <v/>
      </c>
      <c r="J126" s="6"/>
      <c r="K126">
        <v>218.270004</v>
      </c>
      <c r="L126" s="9">
        <f t="shared" si="20"/>
        <v>-4.2974320007801034E-2</v>
      </c>
      <c r="M126" s="10">
        <f t="shared" si="24"/>
        <v>-4.2974320007801034E-2</v>
      </c>
      <c r="N126" s="6"/>
      <c r="O126">
        <v>121.720001</v>
      </c>
      <c r="P126" s="9">
        <f t="shared" si="21"/>
        <v>-7.7226584971848032E-3</v>
      </c>
      <c r="Q126" s="10">
        <f t="shared" si="22"/>
        <v>-7.7226584971848032E-3</v>
      </c>
      <c r="R126" s="6"/>
      <c r="S126">
        <v>6049</v>
      </c>
      <c r="T126" s="28">
        <f t="shared" si="25"/>
        <v>5.8538859315589217E-3</v>
      </c>
      <c r="V126" s="6"/>
      <c r="W126">
        <v>88.389999000000003</v>
      </c>
      <c r="X126" s="27">
        <f t="shared" si="26"/>
        <v>-7.0143908475437302E-3</v>
      </c>
      <c r="Y126" s="26">
        <f t="shared" si="27"/>
        <v>-7.0143908475437302E-3</v>
      </c>
      <c r="Z126" s="6"/>
      <c r="AA126">
        <v>513.919983</v>
      </c>
      <c r="AB126" s="27">
        <f t="shared" si="28"/>
        <v>-3.7204225623583151E-2</v>
      </c>
      <c r="AC126" s="26">
        <f t="shared" si="29"/>
        <v>-3.7204225623583151E-2</v>
      </c>
      <c r="AD126" s="6"/>
      <c r="AE126">
        <v>2063.6999510000001</v>
      </c>
      <c r="AF126" s="27">
        <f t="shared" si="30"/>
        <v>1.0166197363058401E-2</v>
      </c>
      <c r="AG126" s="27">
        <f t="shared" si="31"/>
        <v>1.0166197363058401E-2</v>
      </c>
      <c r="AH126" s="6"/>
      <c r="AI126">
        <v>38.379002</v>
      </c>
      <c r="AJ126" s="27">
        <f t="shared" si="32"/>
        <v>-4.8912189014190609E-2</v>
      </c>
      <c r="AK126" s="27">
        <f t="shared" si="33"/>
        <v>-4.8912189014190609E-2</v>
      </c>
    </row>
    <row r="127" spans="1:37" ht="14.5" x14ac:dyDescent="0.35">
      <c r="A127" s="1">
        <v>44813</v>
      </c>
      <c r="B127">
        <v>53.424098999999998</v>
      </c>
      <c r="D127" s="12">
        <f t="shared" si="23"/>
        <v>1.6846329968081542E-5</v>
      </c>
      <c r="E127" s="13">
        <f t="shared" si="17"/>
        <v>1.6846329968081542E-5</v>
      </c>
      <c r="F127" s="6"/>
      <c r="G127">
        <v>1033.089966</v>
      </c>
      <c r="H127" s="9">
        <f t="shared" si="18"/>
        <v>-9.4859211903327353E-4</v>
      </c>
      <c r="I127" s="10">
        <f t="shared" si="19"/>
        <v>-9.4859211903327353E-4</v>
      </c>
      <c r="J127" s="6"/>
      <c r="K127">
        <v>208.88999899999999</v>
      </c>
      <c r="L127" s="9">
        <f t="shared" si="20"/>
        <v>-3.3506630444277499E-4</v>
      </c>
      <c r="M127" s="10">
        <f t="shared" si="24"/>
        <v>-3.3506630444277499E-4</v>
      </c>
      <c r="N127" s="6"/>
      <c r="O127">
        <v>120.779999</v>
      </c>
      <c r="P127" s="9">
        <f t="shared" si="21"/>
        <v>1.3826776070763111E-2</v>
      </c>
      <c r="Q127" s="10">
        <f t="shared" si="22"/>
        <v>1.3826776070763111E-2</v>
      </c>
      <c r="R127" s="6"/>
      <c r="S127">
        <v>6084.4101559999999</v>
      </c>
      <c r="T127" s="28">
        <f t="shared" si="25"/>
        <v>-2.5624530891667902E-2</v>
      </c>
      <c r="V127" s="6"/>
      <c r="W127">
        <v>87.769997000000004</v>
      </c>
      <c r="X127" s="27">
        <f t="shared" si="26"/>
        <v>3.8738066722275644E-3</v>
      </c>
      <c r="Y127" s="26">
        <f t="shared" si="27"/>
        <v>3.8738066722275644E-3</v>
      </c>
      <c r="Z127" s="6"/>
      <c r="AA127">
        <v>494.79998799999998</v>
      </c>
      <c r="AB127" s="27">
        <f t="shared" si="28"/>
        <v>-1</v>
      </c>
      <c r="AC127" s="26" t="str">
        <f t="shared" si="29"/>
        <v/>
      </c>
      <c r="AD127" s="6"/>
      <c r="AE127">
        <v>2084.679932</v>
      </c>
      <c r="AF127" s="27">
        <f t="shared" si="30"/>
        <v>1.3930214683910517E-2</v>
      </c>
      <c r="AG127" s="27">
        <f t="shared" si="31"/>
        <v>1.3930214683910517E-2</v>
      </c>
      <c r="AH127" s="6"/>
      <c r="AI127">
        <v>36.501801</v>
      </c>
      <c r="AJ127" s="27">
        <f t="shared" si="32"/>
        <v>2.8052588418855358E-3</v>
      </c>
      <c r="AK127" s="27">
        <f t="shared" si="33"/>
        <v>2.8052588418855358E-3</v>
      </c>
    </row>
    <row r="128" spans="1:37" ht="14.5" x14ac:dyDescent="0.35">
      <c r="A128" s="1">
        <v>44816</v>
      </c>
      <c r="B128">
        <v>53.424999</v>
      </c>
      <c r="D128" s="12">
        <f t="shared" si="23"/>
        <v>-1</v>
      </c>
      <c r="E128" s="13" t="str">
        <f t="shared" si="17"/>
        <v/>
      </c>
      <c r="F128" s="6"/>
      <c r="G128">
        <v>1032.1099850000001</v>
      </c>
      <c r="H128" s="9">
        <f t="shared" si="18"/>
        <v>-1</v>
      </c>
      <c r="I128" s="10" t="str">
        <f t="shared" si="19"/>
        <v/>
      </c>
      <c r="J128" s="6"/>
      <c r="K128">
        <v>208.820007</v>
      </c>
      <c r="L128" s="9">
        <f t="shared" si="20"/>
        <v>-1.44622349332648E-2</v>
      </c>
      <c r="M128" s="10">
        <f t="shared" si="24"/>
        <v>-1.44622349332648E-2</v>
      </c>
      <c r="N128" s="6"/>
      <c r="O128">
        <v>122.449997</v>
      </c>
      <c r="P128" s="9">
        <f t="shared" si="21"/>
        <v>1.5843218028008664E-2</v>
      </c>
      <c r="Q128" s="10">
        <f t="shared" si="22"/>
        <v>1.5843218028008664E-2</v>
      </c>
      <c r="R128" s="6"/>
      <c r="S128">
        <v>5928.5</v>
      </c>
      <c r="T128" s="28">
        <f t="shared" si="25"/>
        <v>6.7536476343819837E-6</v>
      </c>
      <c r="V128" s="6"/>
      <c r="W128">
        <v>88.110000999999997</v>
      </c>
      <c r="X128" s="27">
        <f t="shared" si="26"/>
        <v>-3.779368927711161E-2</v>
      </c>
      <c r="Y128" s="26">
        <f t="shared" si="27"/>
        <v>-3.779368927711161E-2</v>
      </c>
      <c r="Z128" s="6"/>
      <c r="AA128" t="s">
        <v>42</v>
      </c>
      <c r="AB128" s="27">
        <f t="shared" si="28"/>
        <v>-1</v>
      </c>
      <c r="AC128" s="26" t="str">
        <f t="shared" si="29"/>
        <v/>
      </c>
      <c r="AD128" s="6"/>
      <c r="AE128">
        <v>2113.719971</v>
      </c>
      <c r="AF128" s="27">
        <f t="shared" si="30"/>
        <v>2.4885079727526888E-3</v>
      </c>
      <c r="AG128" s="27">
        <f t="shared" si="31"/>
        <v>2.4885079727526888E-3</v>
      </c>
      <c r="AH128" s="6"/>
      <c r="AI128">
        <v>36.604197999999997</v>
      </c>
      <c r="AJ128" s="27">
        <f t="shared" si="32"/>
        <v>-1.5809580092425418E-2</v>
      </c>
      <c r="AK128" s="27">
        <f t="shared" si="33"/>
        <v>-1.5809580092425418E-2</v>
      </c>
    </row>
    <row r="129" spans="1:37" ht="14.5" x14ac:dyDescent="0.35">
      <c r="A129" s="1">
        <v>44817</v>
      </c>
      <c r="B129" t="s">
        <v>42</v>
      </c>
      <c r="D129" s="12">
        <f t="shared" si="23"/>
        <v>-1</v>
      </c>
      <c r="E129" s="13" t="str">
        <f t="shared" si="17"/>
        <v/>
      </c>
      <c r="F129" s="6"/>
      <c r="G129" t="s">
        <v>42</v>
      </c>
      <c r="H129" s="9">
        <f t="shared" si="18"/>
        <v>-1</v>
      </c>
      <c r="I129" s="10" t="str">
        <f t="shared" si="19"/>
        <v/>
      </c>
      <c r="J129" s="6"/>
      <c r="K129">
        <v>205.800003</v>
      </c>
      <c r="L129" s="9">
        <f t="shared" si="20"/>
        <v>-7.5801650984427208E-3</v>
      </c>
      <c r="M129" s="10">
        <f t="shared" si="24"/>
        <v>-7.5801650984427208E-3</v>
      </c>
      <c r="N129" s="6"/>
      <c r="O129">
        <v>124.389999</v>
      </c>
      <c r="P129" s="9">
        <f t="shared" si="21"/>
        <v>-3.2880424735753873E-2</v>
      </c>
      <c r="Q129" s="10">
        <f t="shared" si="22"/>
        <v>-3.2880424735753873E-2</v>
      </c>
      <c r="R129" s="6"/>
      <c r="S129">
        <v>5928.5400390000004</v>
      </c>
      <c r="T129" s="28">
        <f t="shared" si="25"/>
        <v>-3.771563125644699E-3</v>
      </c>
      <c r="V129" s="6"/>
      <c r="W129">
        <v>84.779999000000004</v>
      </c>
      <c r="X129" s="27">
        <f t="shared" si="26"/>
        <v>-1.191321080341131E-2</v>
      </c>
      <c r="Y129" s="26">
        <f t="shared" si="27"/>
        <v>-1.191321080341131E-2</v>
      </c>
      <c r="Z129" s="6"/>
      <c r="AA129">
        <v>494</v>
      </c>
      <c r="AB129" s="27">
        <f t="shared" si="28"/>
        <v>-4.3846161943319868E-2</v>
      </c>
      <c r="AC129" s="26">
        <f t="shared" si="29"/>
        <v>-4.3846161943319868E-2</v>
      </c>
      <c r="AD129" s="6"/>
      <c r="AE129">
        <v>2118.9799800000001</v>
      </c>
      <c r="AF129" s="27">
        <f t="shared" si="30"/>
        <v>-3.600319008205069E-2</v>
      </c>
      <c r="AG129" s="27">
        <f t="shared" si="31"/>
        <v>-3.600319008205069E-2</v>
      </c>
      <c r="AH129" s="6"/>
      <c r="AI129">
        <v>36.025500999999998</v>
      </c>
      <c r="AJ129" s="27">
        <f t="shared" si="32"/>
        <v>-7.4475855311490593E-3</v>
      </c>
      <c r="AK129" s="27">
        <f t="shared" si="33"/>
        <v>-7.4475855311490593E-3</v>
      </c>
    </row>
    <row r="130" spans="1:37" ht="14.5" x14ac:dyDescent="0.35">
      <c r="A130" s="1">
        <v>44818</v>
      </c>
      <c r="B130">
        <v>53.427399000000001</v>
      </c>
      <c r="D130" s="12">
        <f t="shared" si="23"/>
        <v>2.0626121065634123E-5</v>
      </c>
      <c r="E130" s="13">
        <f t="shared" si="17"/>
        <v>2.0626121065634123E-5</v>
      </c>
      <c r="F130" s="6"/>
      <c r="G130">
        <v>1033.73999</v>
      </c>
      <c r="H130" s="9">
        <f t="shared" si="18"/>
        <v>5.5146265551734707E-4</v>
      </c>
      <c r="I130" s="10">
        <f t="shared" si="19"/>
        <v>5.5146265551734707E-4</v>
      </c>
      <c r="J130" s="6"/>
      <c r="K130">
        <v>204.240005</v>
      </c>
      <c r="L130" s="9">
        <f t="shared" si="20"/>
        <v>3.2804493909016014E-3</v>
      </c>
      <c r="M130" s="10">
        <f t="shared" si="24"/>
        <v>3.2804493909016014E-3</v>
      </c>
      <c r="N130" s="6"/>
      <c r="O130">
        <v>120.300003</v>
      </c>
      <c r="P130" s="9">
        <f t="shared" si="21"/>
        <v>-1.7206982114539159E-2</v>
      </c>
      <c r="Q130" s="10">
        <f t="shared" si="22"/>
        <v>-1.7206982114539159E-2</v>
      </c>
      <c r="R130" s="6"/>
      <c r="S130">
        <v>5906.1801759999998</v>
      </c>
      <c r="T130" s="28">
        <f t="shared" si="25"/>
        <v>-2.7376398481210165E-2</v>
      </c>
      <c r="V130" s="6"/>
      <c r="W130">
        <v>83.769997000000004</v>
      </c>
      <c r="X130" s="27">
        <f t="shared" si="26"/>
        <v>-3.1036768450642717E-3</v>
      </c>
      <c r="Y130" s="26">
        <f t="shared" si="27"/>
        <v>-3.1036768450642717E-3</v>
      </c>
      <c r="Z130" s="6"/>
      <c r="AA130">
        <v>472.33999599999999</v>
      </c>
      <c r="AB130" s="27">
        <f t="shared" si="28"/>
        <v>1.2490989647211652E-2</v>
      </c>
      <c r="AC130" s="26">
        <f t="shared" si="29"/>
        <v>1.2490989647211652E-2</v>
      </c>
      <c r="AD130" s="6"/>
      <c r="AE130">
        <v>2042.6899410000001</v>
      </c>
      <c r="AF130" s="27">
        <f t="shared" si="30"/>
        <v>5.4340591673770269E-3</v>
      </c>
      <c r="AG130" s="27">
        <f t="shared" si="31"/>
        <v>5.4340591673770269E-3</v>
      </c>
      <c r="AH130" s="6"/>
      <c r="AI130">
        <v>35.757198000000002</v>
      </c>
      <c r="AJ130" s="27">
        <f t="shared" si="32"/>
        <v>2.1002764254626173E-3</v>
      </c>
      <c r="AK130" s="27">
        <f t="shared" si="33"/>
        <v>2.1002764254626173E-3</v>
      </c>
    </row>
    <row r="131" spans="1:37" ht="14.5" x14ac:dyDescent="0.35">
      <c r="A131" s="1">
        <v>44819</v>
      </c>
      <c r="B131">
        <v>53.428500999999997</v>
      </c>
      <c r="D131" s="12">
        <f t="shared" si="23"/>
        <v>4.3048185087680037E-5</v>
      </c>
      <c r="E131" s="13">
        <f t="shared" si="17"/>
        <v>4.3048185087680037E-5</v>
      </c>
      <c r="F131" s="6"/>
      <c r="G131">
        <v>1034.3100589999999</v>
      </c>
      <c r="H131" s="9">
        <f t="shared" si="18"/>
        <v>-5.608366610691945E-4</v>
      </c>
      <c r="I131" s="10">
        <f t="shared" si="19"/>
        <v>-5.608366610691945E-4</v>
      </c>
      <c r="J131" s="6"/>
      <c r="K131">
        <v>204.91000399999999</v>
      </c>
      <c r="L131" s="9">
        <f t="shared" si="20"/>
        <v>-1.1126831074582261E-2</v>
      </c>
      <c r="M131" s="10">
        <f t="shared" si="24"/>
        <v>-1.1126831074582261E-2</v>
      </c>
      <c r="N131" s="6"/>
      <c r="O131">
        <v>118.230003</v>
      </c>
      <c r="P131" s="9">
        <f t="shared" si="21"/>
        <v>-6.6818995175022501E-3</v>
      </c>
      <c r="Q131" s="10">
        <f t="shared" si="22"/>
        <v>-6.6818995175022501E-3</v>
      </c>
      <c r="R131" s="6"/>
      <c r="S131">
        <v>5744.4902339999999</v>
      </c>
      <c r="T131" s="28">
        <f t="shared" si="25"/>
        <v>1.1372565247536338E-2</v>
      </c>
      <c r="V131" s="6"/>
      <c r="W131">
        <v>83.510002</v>
      </c>
      <c r="X131" s="27">
        <f t="shared" si="26"/>
        <v>-1.7961920297882402E-2</v>
      </c>
      <c r="Y131" s="26">
        <f t="shared" si="27"/>
        <v>-1.7961920297882402E-2</v>
      </c>
      <c r="Z131" s="6"/>
      <c r="AA131">
        <v>478.23998999999998</v>
      </c>
      <c r="AB131" s="27">
        <f t="shared" si="28"/>
        <v>-2.5091607249322244E-3</v>
      </c>
      <c r="AC131" s="26">
        <f t="shared" si="29"/>
        <v>-2.5091607249322244E-3</v>
      </c>
      <c r="AD131" s="6"/>
      <c r="AE131">
        <v>2053.790039</v>
      </c>
      <c r="AF131" s="27">
        <f t="shared" si="30"/>
        <v>-1.6730037806946464E-2</v>
      </c>
      <c r="AG131" s="27">
        <f t="shared" si="31"/>
        <v>-1.6730037806946464E-2</v>
      </c>
      <c r="AH131" s="6"/>
      <c r="AI131">
        <v>35.832298000000002</v>
      </c>
      <c r="AJ131" s="27">
        <f t="shared" si="32"/>
        <v>-1.2552865015802259E-2</v>
      </c>
      <c r="AK131" s="27">
        <f t="shared" si="33"/>
        <v>-1.2552865015802259E-2</v>
      </c>
    </row>
    <row r="132" spans="1:37" ht="14.5" x14ac:dyDescent="0.35">
      <c r="A132" s="1">
        <v>44820</v>
      </c>
      <c r="B132">
        <v>53.430801000000002</v>
      </c>
      <c r="D132" s="12">
        <f t="shared" si="23"/>
        <v>3.7244435095583387E-6</v>
      </c>
      <c r="E132" s="13">
        <f t="shared" si="17"/>
        <v>3.7244435095583387E-6</v>
      </c>
      <c r="F132" s="6"/>
      <c r="G132">
        <v>1033.7299800000001</v>
      </c>
      <c r="H132" s="9">
        <f t="shared" si="18"/>
        <v>-4.3047518076239364E-3</v>
      </c>
      <c r="I132" s="10">
        <f t="shared" si="19"/>
        <v>-4.3047518076239364E-3</v>
      </c>
      <c r="J132" s="6"/>
      <c r="K132">
        <v>202.63000500000001</v>
      </c>
      <c r="L132" s="9">
        <f t="shared" si="20"/>
        <v>-1.209106222940682E-2</v>
      </c>
      <c r="M132" s="10">
        <f t="shared" si="24"/>
        <v>-1.209106222940682E-2</v>
      </c>
      <c r="N132" s="6"/>
      <c r="O132">
        <v>117.44000200000001</v>
      </c>
      <c r="P132" s="9">
        <f t="shared" si="21"/>
        <v>2.1287465577529536E-3</v>
      </c>
      <c r="Q132" s="10">
        <f t="shared" si="22"/>
        <v>2.1287465577529536E-3</v>
      </c>
      <c r="R132" s="6"/>
      <c r="S132">
        <v>5809.8198240000002</v>
      </c>
      <c r="T132" s="28">
        <f t="shared" si="25"/>
        <v>-2.018647540764075E-2</v>
      </c>
      <c r="V132" s="6"/>
      <c r="W132">
        <v>82.010002</v>
      </c>
      <c r="X132" s="27">
        <f t="shared" si="26"/>
        <v>-3.901963080064224E-3</v>
      </c>
      <c r="Y132" s="26">
        <f t="shared" si="27"/>
        <v>-3.901963080064224E-3</v>
      </c>
      <c r="Z132" s="6"/>
      <c r="AA132">
        <v>477.040009</v>
      </c>
      <c r="AB132" s="27">
        <f t="shared" si="28"/>
        <v>-1.6773855125429423E-4</v>
      </c>
      <c r="AC132" s="26">
        <f t="shared" si="29"/>
        <v>-1.6773855125429423E-4</v>
      </c>
      <c r="AD132" s="6"/>
      <c r="AE132">
        <v>2019.4300539999999</v>
      </c>
      <c r="AF132" s="27">
        <f t="shared" si="30"/>
        <v>-1.5449940411751375E-2</v>
      </c>
      <c r="AG132" s="27">
        <f t="shared" si="31"/>
        <v>-1.5449940411751375E-2</v>
      </c>
      <c r="AH132" s="6"/>
      <c r="AI132">
        <v>35.3825</v>
      </c>
      <c r="AJ132" s="27">
        <f t="shared" si="32"/>
        <v>-1.1500007065639872E-2</v>
      </c>
      <c r="AK132" s="27">
        <f t="shared" si="33"/>
        <v>-1.1500007065639872E-2</v>
      </c>
    </row>
    <row r="133" spans="1:37" ht="14.5" x14ac:dyDescent="0.35">
      <c r="A133" s="1">
        <v>44823</v>
      </c>
      <c r="B133">
        <v>53.430999999999997</v>
      </c>
      <c r="D133" s="12">
        <f t="shared" si="23"/>
        <v>-1</v>
      </c>
      <c r="E133" s="13" t="str">
        <f t="shared" si="17"/>
        <v/>
      </c>
      <c r="F133" s="6"/>
      <c r="G133">
        <v>1029.280029</v>
      </c>
      <c r="H133" s="9">
        <f t="shared" si="18"/>
        <v>-2.0402368071207235E-3</v>
      </c>
      <c r="I133" s="10">
        <f t="shared" si="19"/>
        <v>-2.0402368071207235E-3</v>
      </c>
      <c r="J133" s="6"/>
      <c r="K133">
        <v>200.179993</v>
      </c>
      <c r="L133" s="9">
        <f t="shared" si="20"/>
        <v>-1.2888335948737837E-2</v>
      </c>
      <c r="M133" s="10">
        <f t="shared" si="24"/>
        <v>-1.2888335948737837E-2</v>
      </c>
      <c r="N133" s="6"/>
      <c r="O133">
        <v>117.69000200000001</v>
      </c>
      <c r="P133" s="9">
        <f t="shared" si="21"/>
        <v>-1.1725753900488621E-2</v>
      </c>
      <c r="Q133" s="10">
        <f t="shared" si="22"/>
        <v>-1.1725753900488621E-2</v>
      </c>
      <c r="R133" s="6"/>
      <c r="S133">
        <v>5692.5400390000004</v>
      </c>
      <c r="T133" s="28">
        <f t="shared" si="25"/>
        <v>9.4421821597660965E-3</v>
      </c>
      <c r="V133" s="6"/>
      <c r="W133">
        <v>81.690002000000007</v>
      </c>
      <c r="X133" s="27">
        <f t="shared" si="26"/>
        <v>-3.4398395534376451E-2</v>
      </c>
      <c r="Y133" s="26">
        <f t="shared" si="27"/>
        <v>-3.4398395534376451E-2</v>
      </c>
      <c r="Z133" s="6"/>
      <c r="AA133">
        <v>476.959991</v>
      </c>
      <c r="AB133" s="27">
        <f t="shared" si="28"/>
        <v>-3.4824692455179107E-2</v>
      </c>
      <c r="AC133" s="26">
        <f t="shared" si="29"/>
        <v>-3.4824692455179107E-2</v>
      </c>
      <c r="AD133" s="6"/>
      <c r="AE133">
        <v>1988.2299800000001</v>
      </c>
      <c r="AF133" s="27">
        <f t="shared" si="30"/>
        <v>7.1017921176301244E-3</v>
      </c>
      <c r="AG133" s="27">
        <f t="shared" si="31"/>
        <v>7.1017921176301244E-3</v>
      </c>
      <c r="AH133" s="6"/>
      <c r="AI133">
        <v>34.975600999999997</v>
      </c>
      <c r="AJ133" s="27">
        <f t="shared" si="32"/>
        <v>-1.6174132361585429E-2</v>
      </c>
      <c r="AK133" s="27">
        <f t="shared" si="33"/>
        <v>-1.6174132361585429E-2</v>
      </c>
    </row>
    <row r="134" spans="1:37" ht="14.5" x14ac:dyDescent="0.35">
      <c r="A134" s="1">
        <v>44824</v>
      </c>
      <c r="B134" t="s">
        <v>42</v>
      </c>
      <c r="D134" s="12">
        <f t="shared" si="23"/>
        <v>-1</v>
      </c>
      <c r="E134" s="13" t="str">
        <f t="shared" si="17"/>
        <v/>
      </c>
      <c r="F134" s="6"/>
      <c r="G134">
        <v>1027.1800539999999</v>
      </c>
      <c r="H134" s="9">
        <f t="shared" si="18"/>
        <v>-3.105652205353175E-3</v>
      </c>
      <c r="I134" s="10">
        <f t="shared" si="19"/>
        <v>-3.105652205353175E-3</v>
      </c>
      <c r="J134" s="6"/>
      <c r="K134">
        <v>197.60000600000001</v>
      </c>
      <c r="L134" s="9">
        <f t="shared" si="20"/>
        <v>-1.1234822533355572E-2</v>
      </c>
      <c r="M134" s="10">
        <f t="shared" si="24"/>
        <v>-1.1234822533355572E-2</v>
      </c>
      <c r="N134" s="6"/>
      <c r="O134">
        <v>116.30999799999999</v>
      </c>
      <c r="P134" s="9">
        <f t="shared" si="21"/>
        <v>-3.7142120834702391E-2</v>
      </c>
      <c r="Q134" s="10">
        <f t="shared" si="22"/>
        <v>-3.7142120834702391E-2</v>
      </c>
      <c r="R134" s="6"/>
      <c r="S134">
        <v>5746.2900390000004</v>
      </c>
      <c r="T134" s="28">
        <f t="shared" si="25"/>
        <v>-5.93249623124359E-3</v>
      </c>
      <c r="V134" s="6"/>
      <c r="W134">
        <v>78.879997000000003</v>
      </c>
      <c r="X134" s="27">
        <f t="shared" si="26"/>
        <v>-2.6622693710295138E-2</v>
      </c>
      <c r="Y134" s="26">
        <f t="shared" si="27"/>
        <v>-2.6622693710295138E-2</v>
      </c>
      <c r="Z134" s="6"/>
      <c r="AA134">
        <v>460.35000600000001</v>
      </c>
      <c r="AB134" s="27">
        <f t="shared" si="28"/>
        <v>-1</v>
      </c>
      <c r="AC134" s="26" t="str">
        <f t="shared" si="29"/>
        <v/>
      </c>
      <c r="AD134" s="6"/>
      <c r="AE134">
        <v>2002.349976</v>
      </c>
      <c r="AF134" s="27">
        <f t="shared" si="30"/>
        <v>-1.2145702445375092E-2</v>
      </c>
      <c r="AG134" s="27">
        <f t="shared" si="31"/>
        <v>-1.2145702445375092E-2</v>
      </c>
      <c r="AH134" s="6"/>
      <c r="AI134">
        <v>34.409900999999998</v>
      </c>
      <c r="AJ134" s="27">
        <f t="shared" si="32"/>
        <v>-1.6105829540166202E-2</v>
      </c>
      <c r="AK134" s="27">
        <f t="shared" si="33"/>
        <v>-1.6105829540166202E-2</v>
      </c>
    </row>
    <row r="135" spans="1:37" ht="14.5" x14ac:dyDescent="0.35">
      <c r="A135" s="1">
        <v>44825</v>
      </c>
      <c r="B135">
        <v>53.431899999999999</v>
      </c>
      <c r="D135" s="12">
        <f t="shared" si="23"/>
        <v>-1.684387042200362E-5</v>
      </c>
      <c r="E135" s="13">
        <f t="shared" si="17"/>
        <v>-1.684387042200362E-5</v>
      </c>
      <c r="F135" s="6"/>
      <c r="G135">
        <v>1023.98999</v>
      </c>
      <c r="H135" s="9">
        <f t="shared" si="18"/>
        <v>-2.1386947347015075E-3</v>
      </c>
      <c r="I135" s="10">
        <f t="shared" si="19"/>
        <v>-2.1386947347015075E-3</v>
      </c>
      <c r="J135" s="6"/>
      <c r="K135">
        <v>195.38000500000001</v>
      </c>
      <c r="L135" s="9">
        <f t="shared" si="20"/>
        <v>-9.3152162627900634E-3</v>
      </c>
      <c r="M135" s="10">
        <f t="shared" si="24"/>
        <v>-9.3152162627900634E-3</v>
      </c>
      <c r="N135" s="6"/>
      <c r="O135">
        <v>111.989998</v>
      </c>
      <c r="P135" s="9">
        <f t="shared" si="21"/>
        <v>5.8934191605218237E-3</v>
      </c>
      <c r="Q135" s="10">
        <f t="shared" si="22"/>
        <v>5.8934191605218237E-3</v>
      </c>
      <c r="R135" s="6"/>
      <c r="S135">
        <v>5712.2001950000003</v>
      </c>
      <c r="T135" s="28">
        <f t="shared" si="25"/>
        <v>-2.5786876329883372E-3</v>
      </c>
      <c r="V135" s="6"/>
      <c r="W135">
        <v>76.779999000000004</v>
      </c>
      <c r="X135" s="27">
        <f t="shared" si="26"/>
        <v>-1.0549596386423596E-2</v>
      </c>
      <c r="Y135" s="26">
        <f t="shared" si="27"/>
        <v>-1.0549596386423596E-2</v>
      </c>
      <c r="Z135" s="6"/>
      <c r="AA135" t="s">
        <v>42</v>
      </c>
      <c r="AB135" s="27">
        <f t="shared" si="28"/>
        <v>-1</v>
      </c>
      <c r="AC135" s="26" t="str">
        <f t="shared" si="29"/>
        <v/>
      </c>
      <c r="AD135" s="6"/>
      <c r="AE135">
        <v>1978.030029</v>
      </c>
      <c r="AF135" s="27">
        <f t="shared" si="30"/>
        <v>-1.6531695434640176E-3</v>
      </c>
      <c r="AG135" s="27">
        <f t="shared" si="31"/>
        <v>-1.6531695434640176E-3</v>
      </c>
      <c r="AH135" s="6"/>
      <c r="AI135">
        <v>33.855701000000003</v>
      </c>
      <c r="AJ135" s="27">
        <f t="shared" si="32"/>
        <v>-1.2514938030673349E-2</v>
      </c>
      <c r="AK135" s="27">
        <f t="shared" si="33"/>
        <v>-1.2514938030673349E-2</v>
      </c>
    </row>
    <row r="136" spans="1:37" ht="14.5" x14ac:dyDescent="0.35">
      <c r="A136" s="1">
        <v>44826</v>
      </c>
      <c r="B136">
        <v>53.430999999999997</v>
      </c>
      <c r="D136" s="12">
        <f t="shared" si="23"/>
        <v>-1.3063577324022861E-5</v>
      </c>
      <c r="E136" s="13">
        <f t="shared" si="17"/>
        <v>-1.3063577324022861E-5</v>
      </c>
      <c r="F136" s="6"/>
      <c r="G136">
        <v>1021.799988</v>
      </c>
      <c r="H136" s="9">
        <f t="shared" si="18"/>
        <v>5.9697103852388337E-4</v>
      </c>
      <c r="I136" s="10">
        <f t="shared" si="19"/>
        <v>5.9697103852388337E-4</v>
      </c>
      <c r="J136" s="6"/>
      <c r="K136">
        <v>193.55999800000001</v>
      </c>
      <c r="L136" s="9">
        <f t="shared" si="20"/>
        <v>-2.3764827689241852E-3</v>
      </c>
      <c r="M136" s="10">
        <f t="shared" si="24"/>
        <v>-2.3764827689241852E-3</v>
      </c>
      <c r="N136" s="6"/>
      <c r="O136">
        <v>112.650002</v>
      </c>
      <c r="P136" s="9">
        <f t="shared" si="21"/>
        <v>-3.3555250180998697E-2</v>
      </c>
      <c r="Q136" s="10">
        <f t="shared" si="22"/>
        <v>-3.3555250180998697E-2</v>
      </c>
      <c r="R136" s="6"/>
      <c r="S136">
        <v>5697.4702150000003</v>
      </c>
      <c r="T136" s="28">
        <f t="shared" si="25"/>
        <v>2.8430158278589624E-2</v>
      </c>
      <c r="V136" s="6"/>
      <c r="W136">
        <v>75.970000999999996</v>
      </c>
      <c r="X136" s="27">
        <f t="shared" si="26"/>
        <v>1.1188613779273176E-2</v>
      </c>
      <c r="Y136" s="26">
        <f t="shared" si="27"/>
        <v>1.1188613779273176E-2</v>
      </c>
      <c r="Z136" s="6"/>
      <c r="AA136">
        <v>453.02999899999998</v>
      </c>
      <c r="AB136" s="27">
        <f t="shared" si="28"/>
        <v>-1</v>
      </c>
      <c r="AC136" s="26" t="str">
        <f t="shared" si="29"/>
        <v/>
      </c>
      <c r="AD136" s="6"/>
      <c r="AE136">
        <v>1974.76001</v>
      </c>
      <c r="AF136" s="27">
        <f t="shared" si="30"/>
        <v>-1.66551959901193E-2</v>
      </c>
      <c r="AG136" s="27">
        <f t="shared" si="31"/>
        <v>-1.66551959901193E-2</v>
      </c>
      <c r="AH136" s="6"/>
      <c r="AI136">
        <v>33.431998999999998</v>
      </c>
      <c r="AJ136" s="27">
        <f t="shared" si="32"/>
        <v>6.2186230622942916E-3</v>
      </c>
      <c r="AK136" s="27">
        <f t="shared" si="33"/>
        <v>6.2186230622942916E-3</v>
      </c>
    </row>
    <row r="137" spans="1:37" ht="14.5" x14ac:dyDescent="0.35">
      <c r="A137" s="1">
        <v>44827</v>
      </c>
      <c r="B137">
        <v>53.430301999999998</v>
      </c>
      <c r="D137" s="12">
        <f t="shared" si="23"/>
        <v>4.2971870157147643E-5</v>
      </c>
      <c r="E137" s="13">
        <f t="shared" si="17"/>
        <v>4.2971870157147643E-5</v>
      </c>
      <c r="F137" s="6"/>
      <c r="G137">
        <v>1022.409973</v>
      </c>
      <c r="H137" s="9">
        <f t="shared" si="18"/>
        <v>-1.1736495453767014E-3</v>
      </c>
      <c r="I137" s="10">
        <f t="shared" si="19"/>
        <v>-1.1736495453767014E-3</v>
      </c>
      <c r="J137" s="6"/>
      <c r="K137">
        <v>193.10000600000001</v>
      </c>
      <c r="L137" s="9">
        <f t="shared" si="20"/>
        <v>1.6571708444172686E-2</v>
      </c>
      <c r="M137" s="10">
        <f t="shared" si="24"/>
        <v>1.6571708444172686E-2</v>
      </c>
      <c r="N137" s="6"/>
      <c r="O137">
        <v>108.870003</v>
      </c>
      <c r="P137" s="9">
        <f t="shared" si="21"/>
        <v>-2.8933608094049566E-2</v>
      </c>
      <c r="Q137" s="10">
        <f t="shared" si="22"/>
        <v>-2.8933608094049566E-2</v>
      </c>
      <c r="R137" s="6"/>
      <c r="S137">
        <v>5859.4501950000003</v>
      </c>
      <c r="T137" s="28">
        <f t="shared" si="25"/>
        <v>2.5031345453735022E-2</v>
      </c>
      <c r="V137" s="6"/>
      <c r="W137">
        <v>76.819999999999993</v>
      </c>
      <c r="X137" s="27">
        <f t="shared" si="26"/>
        <v>4.5560791460558915E-3</v>
      </c>
      <c r="Y137" s="26">
        <f t="shared" si="27"/>
        <v>4.5560791460558915E-3</v>
      </c>
      <c r="Z137" s="6"/>
      <c r="AA137" t="s">
        <v>42</v>
      </c>
      <c r="AB137" s="27">
        <f t="shared" si="28"/>
        <v>-1</v>
      </c>
      <c r="AC137" s="26" t="str">
        <f t="shared" si="29"/>
        <v/>
      </c>
      <c r="AD137" s="6"/>
      <c r="AE137">
        <v>1941.869995</v>
      </c>
      <c r="AF137" s="27">
        <f t="shared" si="30"/>
        <v>-3.9034312387117545E-3</v>
      </c>
      <c r="AG137" s="27">
        <f t="shared" si="31"/>
        <v>-3.9034312387117545E-3</v>
      </c>
      <c r="AH137" s="6"/>
      <c r="AI137">
        <v>33.639899999999997</v>
      </c>
      <c r="AJ137" s="27">
        <f t="shared" si="32"/>
        <v>1.5285390265726265E-2</v>
      </c>
      <c r="AK137" s="27">
        <f t="shared" si="33"/>
        <v>1.5285390265726265E-2</v>
      </c>
    </row>
    <row r="138" spans="1:37" ht="14.5" x14ac:dyDescent="0.35">
      <c r="A138" s="1">
        <v>44830</v>
      </c>
      <c r="B138">
        <v>53.432597999999999</v>
      </c>
      <c r="D138" s="12">
        <f t="shared" si="23"/>
        <v>-1</v>
      </c>
      <c r="E138" s="13" t="str">
        <f t="shared" si="17"/>
        <v/>
      </c>
      <c r="F138" s="6"/>
      <c r="G138">
        <v>1021.210022</v>
      </c>
      <c r="H138" s="9">
        <f t="shared" si="18"/>
        <v>-4.2890344842306909E-3</v>
      </c>
      <c r="I138" s="10">
        <f t="shared" si="19"/>
        <v>-4.2890344842306909E-3</v>
      </c>
      <c r="J138" s="6"/>
      <c r="K138">
        <v>196.300003</v>
      </c>
      <c r="L138" s="9">
        <f t="shared" si="20"/>
        <v>-1.5588374698089064E-2</v>
      </c>
      <c r="M138" s="10">
        <f t="shared" si="24"/>
        <v>-1.5588374698089064E-2</v>
      </c>
      <c r="N138" s="6"/>
      <c r="O138">
        <v>105.720001</v>
      </c>
      <c r="P138" s="9">
        <f t="shared" si="21"/>
        <v>-2.0431356219907746E-2</v>
      </c>
      <c r="Q138" s="10">
        <f t="shared" si="22"/>
        <v>-2.0431356219907746E-2</v>
      </c>
      <c r="R138" s="6"/>
      <c r="S138">
        <v>6006.1201170000004</v>
      </c>
      <c r="T138" s="28">
        <f t="shared" si="25"/>
        <v>-3.347009318562907E-4</v>
      </c>
      <c r="V138" s="6"/>
      <c r="W138">
        <v>77.169998000000007</v>
      </c>
      <c r="X138" s="27">
        <f t="shared" si="26"/>
        <v>-3.5894726860042241E-2</v>
      </c>
      <c r="Y138" s="26">
        <f t="shared" si="27"/>
        <v>-3.5894726860042241E-2</v>
      </c>
      <c r="Z138" s="6"/>
      <c r="AA138">
        <v>448.55999800000001</v>
      </c>
      <c r="AB138" s="27">
        <f t="shared" si="28"/>
        <v>-7.1339687316478283E-3</v>
      </c>
      <c r="AC138" s="26">
        <f t="shared" si="29"/>
        <v>-7.1339687316478283E-3</v>
      </c>
      <c r="AD138" s="6"/>
      <c r="AE138">
        <v>1934.290039</v>
      </c>
      <c r="AF138" s="27">
        <f t="shared" si="30"/>
        <v>-4.0583872334152516E-3</v>
      </c>
      <c r="AG138" s="27">
        <f t="shared" si="31"/>
        <v>-4.0583872334152516E-3</v>
      </c>
      <c r="AH138" s="6"/>
      <c r="AI138">
        <v>34.154099000000002</v>
      </c>
      <c r="AJ138" s="27">
        <f t="shared" si="32"/>
        <v>-2.2164250329074847E-2</v>
      </c>
      <c r="AK138" s="27">
        <f t="shared" si="33"/>
        <v>-2.2164250329074847E-2</v>
      </c>
    </row>
    <row r="139" spans="1:37" ht="14.5" x14ac:dyDescent="0.35">
      <c r="A139" s="1">
        <v>44831</v>
      </c>
      <c r="B139" t="s">
        <v>42</v>
      </c>
      <c r="D139" s="12">
        <f t="shared" si="23"/>
        <v>-1</v>
      </c>
      <c r="E139" s="13" t="str">
        <f t="shared" si="17"/>
        <v/>
      </c>
      <c r="F139" s="6"/>
      <c r="G139">
        <v>1016.830017</v>
      </c>
      <c r="H139" s="9">
        <f t="shared" si="18"/>
        <v>-7.0808413202066347E-3</v>
      </c>
      <c r="I139" s="10">
        <f t="shared" si="19"/>
        <v>-7.0808413202066347E-3</v>
      </c>
      <c r="J139" s="6"/>
      <c r="K139">
        <v>193.240005</v>
      </c>
      <c r="L139" s="9">
        <f t="shared" si="20"/>
        <v>-1.0401619478326947E-2</v>
      </c>
      <c r="M139" s="10">
        <f t="shared" si="24"/>
        <v>-1.0401619478326947E-2</v>
      </c>
      <c r="N139" s="6"/>
      <c r="O139">
        <v>103.55999799999999</v>
      </c>
      <c r="P139" s="9">
        <f t="shared" si="21"/>
        <v>-2.8292787336670192E-2</v>
      </c>
      <c r="Q139" s="10">
        <f t="shared" si="22"/>
        <v>-2.8292787336670192E-2</v>
      </c>
      <c r="R139" s="6"/>
      <c r="S139">
        <v>6004.1098629999997</v>
      </c>
      <c r="T139" s="28">
        <f t="shared" si="25"/>
        <v>-1.5347804104629876E-2</v>
      </c>
      <c r="V139" s="6"/>
      <c r="W139">
        <v>74.400002000000001</v>
      </c>
      <c r="X139" s="27">
        <f t="shared" si="26"/>
        <v>6.5859810057532315E-3</v>
      </c>
      <c r="Y139" s="26">
        <f t="shared" si="27"/>
        <v>6.5859810057532315E-3</v>
      </c>
      <c r="Z139" s="6"/>
      <c r="AA139">
        <v>445.35998499999999</v>
      </c>
      <c r="AB139" s="27">
        <f t="shared" si="28"/>
        <v>-4.2655830428953238E-4</v>
      </c>
      <c r="AC139" s="26">
        <f t="shared" si="29"/>
        <v>-4.2655830428953238E-4</v>
      </c>
      <c r="AD139" s="6"/>
      <c r="AE139">
        <v>1926.4399410000001</v>
      </c>
      <c r="AF139" s="27">
        <f t="shared" si="30"/>
        <v>8.5339094409898827E-3</v>
      </c>
      <c r="AG139" s="27">
        <f t="shared" si="31"/>
        <v>8.5339094409898827E-3</v>
      </c>
      <c r="AH139" s="6"/>
      <c r="AI139">
        <v>33.397098999999997</v>
      </c>
      <c r="AJ139" s="27">
        <f t="shared" si="32"/>
        <v>-1.5905603058517025E-2</v>
      </c>
      <c r="AK139" s="27">
        <f t="shared" si="33"/>
        <v>-1.5905603058517025E-2</v>
      </c>
    </row>
    <row r="140" spans="1:37" ht="14.5" x14ac:dyDescent="0.35">
      <c r="A140" s="1">
        <v>44832</v>
      </c>
      <c r="B140">
        <v>53.436100000000003</v>
      </c>
      <c r="D140" s="12">
        <f t="shared" si="23"/>
        <v>8.9808200823009973E-5</v>
      </c>
      <c r="E140" s="13">
        <f t="shared" si="17"/>
        <v>8.9808200823009973E-5</v>
      </c>
      <c r="F140" s="6"/>
      <c r="G140">
        <v>1009.630005</v>
      </c>
      <c r="H140" s="9">
        <f t="shared" si="18"/>
        <v>-4.4273961529104379E-3</v>
      </c>
      <c r="I140" s="10">
        <f t="shared" si="19"/>
        <v>-4.4273961529104379E-3</v>
      </c>
      <c r="J140" s="6"/>
      <c r="K140">
        <v>191.229996</v>
      </c>
      <c r="L140" s="9">
        <f t="shared" si="20"/>
        <v>2.3479606201529162E-2</v>
      </c>
      <c r="M140" s="10">
        <f t="shared" si="24"/>
        <v>2.3479606201529162E-2</v>
      </c>
      <c r="N140" s="6"/>
      <c r="O140">
        <v>100.629997</v>
      </c>
      <c r="P140" s="9">
        <f t="shared" si="21"/>
        <v>1.8284846018627957E-2</v>
      </c>
      <c r="Q140" s="10">
        <f t="shared" si="22"/>
        <v>1.8284846018627957E-2</v>
      </c>
      <c r="R140" s="6"/>
      <c r="S140">
        <v>5911.9599609999996</v>
      </c>
      <c r="T140" s="28">
        <f t="shared" si="25"/>
        <v>-1.782659857225637E-2</v>
      </c>
      <c r="V140" s="6"/>
      <c r="W140">
        <v>74.889999000000003</v>
      </c>
      <c r="X140" s="27">
        <f t="shared" si="26"/>
        <v>1.7625851483854246E-2</v>
      </c>
      <c r="Y140" s="26">
        <f t="shared" si="27"/>
        <v>1.7625851483854246E-2</v>
      </c>
      <c r="Z140" s="6"/>
      <c r="AA140">
        <v>445.17001299999998</v>
      </c>
      <c r="AB140" s="27">
        <f t="shared" si="28"/>
        <v>-9.8165304768630009E-3</v>
      </c>
      <c r="AC140" s="26">
        <f t="shared" si="29"/>
        <v>-9.8165304768630009E-3</v>
      </c>
      <c r="AD140" s="6"/>
      <c r="AE140">
        <v>1942.880005</v>
      </c>
      <c r="AF140" s="27">
        <f t="shared" si="30"/>
        <v>1.8112256500369971E-2</v>
      </c>
      <c r="AG140" s="27">
        <f t="shared" si="31"/>
        <v>1.8112256500369971E-2</v>
      </c>
      <c r="AH140" s="6"/>
      <c r="AI140">
        <v>32.865898000000001</v>
      </c>
      <c r="AJ140" s="27">
        <f t="shared" si="32"/>
        <v>3.255967629425479E-2</v>
      </c>
      <c r="AK140" s="27">
        <f t="shared" si="33"/>
        <v>3.255967629425479E-2</v>
      </c>
    </row>
    <row r="141" spans="1:37" ht="14.5" x14ac:dyDescent="0.35">
      <c r="A141" s="1">
        <v>44833</v>
      </c>
      <c r="B141">
        <v>53.440899000000002</v>
      </c>
      <c r="D141" s="12">
        <f t="shared" si="23"/>
        <v>1.6841034055236519E-5</v>
      </c>
      <c r="E141" s="13">
        <f t="shared" si="17"/>
        <v>1.6841034055236519E-5</v>
      </c>
      <c r="F141" s="6"/>
      <c r="G141">
        <v>1005.159973</v>
      </c>
      <c r="H141" s="9">
        <f t="shared" si="18"/>
        <v>-2.4672490614586666E-3</v>
      </c>
      <c r="I141" s="10">
        <f t="shared" si="19"/>
        <v>-2.4672490614586666E-3</v>
      </c>
      <c r="J141" s="6"/>
      <c r="K141">
        <v>195.720001</v>
      </c>
      <c r="L141" s="9">
        <f t="shared" si="20"/>
        <v>3.2290986959477963E-2</v>
      </c>
      <c r="M141" s="10">
        <f t="shared" si="24"/>
        <v>3.2290986959477963E-2</v>
      </c>
      <c r="N141" s="6"/>
      <c r="O141">
        <v>102.470001</v>
      </c>
      <c r="P141" s="9">
        <f t="shared" si="21"/>
        <v>-2.0298643307322631E-2</v>
      </c>
      <c r="Q141" s="10">
        <f t="shared" si="22"/>
        <v>-2.0298643307322631E-2</v>
      </c>
      <c r="R141" s="6"/>
      <c r="S141">
        <v>5806.5698240000002</v>
      </c>
      <c r="T141" s="28">
        <f t="shared" si="25"/>
        <v>-1.6773665512026391E-3</v>
      </c>
      <c r="V141" s="6"/>
      <c r="W141">
        <v>76.209998999999996</v>
      </c>
      <c r="X141" s="27">
        <f t="shared" si="26"/>
        <v>2.6636911516033531E-2</v>
      </c>
      <c r="Y141" s="26">
        <f t="shared" si="27"/>
        <v>2.6636911516033531E-2</v>
      </c>
      <c r="Z141" s="6"/>
      <c r="AA141">
        <v>440.79998799999998</v>
      </c>
      <c r="AB141" s="27">
        <f t="shared" si="28"/>
        <v>-1</v>
      </c>
      <c r="AC141" s="26" t="str">
        <f t="shared" si="29"/>
        <v/>
      </c>
      <c r="AD141" s="6"/>
      <c r="AE141">
        <v>1978.0699460000001</v>
      </c>
      <c r="AF141" s="27">
        <f t="shared" si="30"/>
        <v>-3.7991529142822389E-2</v>
      </c>
      <c r="AG141" s="27">
        <f t="shared" si="31"/>
        <v>-3.7991529142822389E-2</v>
      </c>
      <c r="AH141" s="6"/>
      <c r="AI141">
        <v>33.936000999999997</v>
      </c>
      <c r="AJ141" s="27">
        <f t="shared" si="32"/>
        <v>3.7025576466714588E-2</v>
      </c>
      <c r="AK141" s="27">
        <f t="shared" si="33"/>
        <v>3.7025576466714588E-2</v>
      </c>
    </row>
    <row r="142" spans="1:37" ht="14.5" x14ac:dyDescent="0.35">
      <c r="A142" s="1">
        <v>44834</v>
      </c>
      <c r="B142">
        <v>53.441799000000003</v>
      </c>
      <c r="D142" s="12">
        <f t="shared" si="23"/>
        <v>-3.740517792084374E-5</v>
      </c>
      <c r="E142" s="13">
        <f t="shared" ref="E142:E205" si="34">IF(D142=-1,"",D142)</f>
        <v>-3.740517792084374E-5</v>
      </c>
      <c r="F142" s="6"/>
      <c r="G142">
        <v>1002.679993</v>
      </c>
      <c r="H142" s="9">
        <f t="shared" ref="H142:H205" si="35">IFERROR((G143-G142)/G142,-100%)</f>
        <v>-1</v>
      </c>
      <c r="I142" s="10" t="str">
        <f t="shared" ref="I142:I205" si="36">IF(H142=-1,"",H142)</f>
        <v/>
      </c>
      <c r="J142" s="6"/>
      <c r="K142">
        <v>202.03999300000001</v>
      </c>
      <c r="L142" s="9">
        <f t="shared" ref="L142:L205" si="37">IFERROR((K143-K142)/K142,-100%)</f>
        <v>-1.9303059469023903E-3</v>
      </c>
      <c r="M142" s="10">
        <f t="shared" si="24"/>
        <v>-1.9303059469023903E-3</v>
      </c>
      <c r="N142" s="6"/>
      <c r="O142">
        <v>100.389999</v>
      </c>
      <c r="P142" s="9">
        <f t="shared" ref="P142:P205" si="38">IFERROR((O143-O142)/O142,-100%)</f>
        <v>4.3829086998994793E-2</v>
      </c>
      <c r="Q142" s="10">
        <f t="shared" ref="Q142:Q205" si="39">IF(P142=-1,"",P142)</f>
        <v>4.3829086998994793E-2</v>
      </c>
      <c r="R142" s="6"/>
      <c r="S142">
        <v>5796.830078</v>
      </c>
      <c r="T142" s="28">
        <f t="shared" si="25"/>
        <v>7.8094440221402554E-3</v>
      </c>
      <c r="V142" s="6"/>
      <c r="W142">
        <v>78.239998</v>
      </c>
      <c r="X142" s="27">
        <f t="shared" si="26"/>
        <v>-2.7607311544154266E-2</v>
      </c>
      <c r="Y142" s="26">
        <f t="shared" si="27"/>
        <v>-2.7607311544154266E-2</v>
      </c>
      <c r="Z142" s="6"/>
      <c r="AA142" t="s">
        <v>42</v>
      </c>
      <c r="AB142" s="27">
        <f t="shared" si="28"/>
        <v>-1</v>
      </c>
      <c r="AC142" s="26" t="str">
        <f t="shared" si="29"/>
        <v/>
      </c>
      <c r="AD142" s="6"/>
      <c r="AE142">
        <v>1902.920044</v>
      </c>
      <c r="AF142" s="27">
        <f t="shared" si="30"/>
        <v>-1.4950745350391597E-2</v>
      </c>
      <c r="AG142" s="27">
        <f t="shared" si="31"/>
        <v>-1.4950745350391597E-2</v>
      </c>
      <c r="AH142" s="6"/>
      <c r="AI142">
        <v>35.192501</v>
      </c>
      <c r="AJ142" s="27">
        <f t="shared" si="32"/>
        <v>2.7335084823894326E-3</v>
      </c>
      <c r="AK142" s="27">
        <f t="shared" si="33"/>
        <v>2.7335084823894326E-3</v>
      </c>
    </row>
    <row r="143" spans="1:37" ht="14.5" x14ac:dyDescent="0.35">
      <c r="A143" s="1">
        <v>44837</v>
      </c>
      <c r="B143">
        <v>53.439799999999998</v>
      </c>
      <c r="D143" s="12">
        <f t="shared" ref="D143:D206" si="40">IFERROR((B144-B143)/B143,-100%)</f>
        <v>-1</v>
      </c>
      <c r="E143" s="13" t="str">
        <f t="shared" si="34"/>
        <v/>
      </c>
      <c r="F143" s="6"/>
      <c r="G143" t="s">
        <v>42</v>
      </c>
      <c r="H143" s="9">
        <f t="shared" si="35"/>
        <v>-1</v>
      </c>
      <c r="I143" s="10" t="str">
        <f t="shared" si="36"/>
        <v/>
      </c>
      <c r="J143" s="6"/>
      <c r="K143">
        <v>201.64999399999999</v>
      </c>
      <c r="L143" s="9">
        <f t="shared" si="37"/>
        <v>-8.4304341710022372E-3</v>
      </c>
      <c r="M143" s="10">
        <f t="shared" ref="M143:M206" si="41">IF(L143=-1,"",L143)</f>
        <v>-8.4304341710022372E-3</v>
      </c>
      <c r="N143" s="6"/>
      <c r="O143">
        <v>104.790001</v>
      </c>
      <c r="P143" s="9">
        <f t="shared" si="38"/>
        <v>1.0497280174660644E-3</v>
      </c>
      <c r="Q143" s="10">
        <f t="shared" si="39"/>
        <v>1.0497280174660644E-3</v>
      </c>
      <c r="R143" s="6"/>
      <c r="S143">
        <v>5842.1000979999999</v>
      </c>
      <c r="T143" s="28">
        <f t="shared" si="25"/>
        <v>-8.4832608426147951E-3</v>
      </c>
      <c r="V143" s="6"/>
      <c r="W143">
        <v>76.080001999999993</v>
      </c>
      <c r="X143" s="27">
        <f t="shared" si="26"/>
        <v>-2.4316495154666228E-2</v>
      </c>
      <c r="Y143" s="26">
        <f t="shared" si="27"/>
        <v>-2.4316495154666228E-2</v>
      </c>
      <c r="Z143" s="6"/>
      <c r="AA143">
        <v>459.45001200000002</v>
      </c>
      <c r="AB143" s="27">
        <f t="shared" si="28"/>
        <v>1.9218602175158851E-2</v>
      </c>
      <c r="AC143" s="26">
        <f t="shared" si="29"/>
        <v>1.9218602175158851E-2</v>
      </c>
      <c r="AD143" s="6"/>
      <c r="AE143">
        <v>1874.469971</v>
      </c>
      <c r="AF143" s="27">
        <f t="shared" si="30"/>
        <v>2.3932090507733213E-2</v>
      </c>
      <c r="AG143" s="27">
        <f t="shared" si="31"/>
        <v>2.3932090507733213E-2</v>
      </c>
      <c r="AH143" s="6"/>
      <c r="AI143">
        <v>35.288699999999999</v>
      </c>
      <c r="AJ143" s="27">
        <f t="shared" si="32"/>
        <v>-7.0816153612913279E-3</v>
      </c>
      <c r="AK143" s="27">
        <f t="shared" si="33"/>
        <v>-7.0816153612913279E-3</v>
      </c>
    </row>
    <row r="144" spans="1:37" ht="14.5" x14ac:dyDescent="0.35">
      <c r="A144" s="1">
        <v>44838</v>
      </c>
      <c r="B144" t="s">
        <v>42</v>
      </c>
      <c r="D144" s="12">
        <f t="shared" si="40"/>
        <v>-1</v>
      </c>
      <c r="E144" s="13" t="str">
        <f t="shared" si="34"/>
        <v/>
      </c>
      <c r="F144" s="6"/>
      <c r="G144">
        <v>997.64001499999995</v>
      </c>
      <c r="H144" s="9">
        <f t="shared" si="35"/>
        <v>3.64862469956166E-3</v>
      </c>
      <c r="I144" s="10">
        <f t="shared" si="36"/>
        <v>3.64862469956166E-3</v>
      </c>
      <c r="J144" s="6"/>
      <c r="K144">
        <v>199.949997</v>
      </c>
      <c r="L144" s="9">
        <f t="shared" si="37"/>
        <v>-3.2007972473237861E-2</v>
      </c>
      <c r="M144" s="10">
        <f t="shared" si="41"/>
        <v>-3.2007972473237861E-2</v>
      </c>
      <c r="N144" s="6"/>
      <c r="O144">
        <v>104.900002</v>
      </c>
      <c r="P144" s="9">
        <f t="shared" si="38"/>
        <v>9.4375308019536783E-3</v>
      </c>
      <c r="Q144" s="10">
        <f t="shared" si="39"/>
        <v>9.4375308019536783E-3</v>
      </c>
      <c r="R144" s="6"/>
      <c r="S144">
        <v>5792.5400390000004</v>
      </c>
      <c r="T144" s="28">
        <f t="shared" ref="T144:T207" si="42">IFERROR((S145-S144)/S144,-100%)</f>
        <v>2.9910844781991363E-2</v>
      </c>
      <c r="V144" s="6"/>
      <c r="W144">
        <v>74.230002999999996</v>
      </c>
      <c r="X144" s="27">
        <f t="shared" ref="X144:X207" si="43">IFERROR((W145-W144)/W144,-100%)</f>
        <v>-2.6135011741815404E-2</v>
      </c>
      <c r="Y144" s="26">
        <f t="shared" ref="Y144:Y207" si="44">IF(X144=-1,"",X144)</f>
        <v>-2.6135011741815404E-2</v>
      </c>
      <c r="Z144" s="6"/>
      <c r="AA144">
        <v>468.27999899999998</v>
      </c>
      <c r="AB144" s="27">
        <f t="shared" ref="AB144:AB207" si="45">IFERROR((AA145-AA144)/AA144,-100%)</f>
        <v>-4.1236008459118394E-2</v>
      </c>
      <c r="AC144" s="26">
        <f t="shared" ref="AC144:AC207" si="46">IF(AB144=-1,"",AB144)</f>
        <v>-4.1236008459118394E-2</v>
      </c>
      <c r="AD144" s="6"/>
      <c r="AE144">
        <v>1919.329956</v>
      </c>
      <c r="AF144" s="27">
        <f t="shared" ref="AF144:AF207" si="47">IFERROR((AE145-AE144)/AE144,-100%)</f>
        <v>2.5957010593336455E-2</v>
      </c>
      <c r="AG144" s="27">
        <f t="shared" ref="AG144:AG207" si="48">IF(AF144=-1,"",AF144)</f>
        <v>2.5957010593336455E-2</v>
      </c>
      <c r="AH144" s="6"/>
      <c r="AI144">
        <v>35.038798999999997</v>
      </c>
      <c r="AJ144" s="27">
        <f t="shared" ref="AJ144:AJ207" si="49">IFERROR((AI145-AI144)/AI144,-100%)</f>
        <v>-4.0689208554208628E-2</v>
      </c>
      <c r="AK144" s="27">
        <f t="shared" ref="AK144:AK207" si="50">IF(AJ144=-1,"",AJ144)</f>
        <v>-4.0689208554208628E-2</v>
      </c>
    </row>
    <row r="145" spans="1:37" ht="14.5" x14ac:dyDescent="0.35">
      <c r="A145" s="1">
        <v>44839</v>
      </c>
      <c r="B145">
        <v>53.441299000000001</v>
      </c>
      <c r="D145" s="12">
        <f t="shared" si="40"/>
        <v>5.4265148008411885E-5</v>
      </c>
      <c r="E145" s="13">
        <f t="shared" si="34"/>
        <v>5.4265148008411885E-5</v>
      </c>
      <c r="F145" s="6"/>
      <c r="G145">
        <v>1001.280029</v>
      </c>
      <c r="H145" s="9">
        <f t="shared" si="35"/>
        <v>4.4243297296404655E-3</v>
      </c>
      <c r="I145" s="10">
        <f t="shared" si="36"/>
        <v>4.4243297296404655E-3</v>
      </c>
      <c r="J145" s="6"/>
      <c r="K145">
        <v>193.550003</v>
      </c>
      <c r="L145" s="9">
        <f t="shared" si="37"/>
        <v>-1.1728256082744675E-2</v>
      </c>
      <c r="M145" s="10">
        <f t="shared" si="41"/>
        <v>-1.1728256082744675E-2</v>
      </c>
      <c r="N145" s="6"/>
      <c r="O145">
        <v>105.889999</v>
      </c>
      <c r="P145" s="9">
        <f t="shared" si="38"/>
        <v>-3.6547379701080171E-2</v>
      </c>
      <c r="Q145" s="10">
        <f t="shared" si="39"/>
        <v>-3.6547379701080171E-2</v>
      </c>
      <c r="R145" s="6"/>
      <c r="S145">
        <v>5965.7998049999997</v>
      </c>
      <c r="T145" s="28">
        <f t="shared" si="42"/>
        <v>-2.7070809493915863E-3</v>
      </c>
      <c r="V145" s="6"/>
      <c r="W145">
        <v>72.290001000000004</v>
      </c>
      <c r="X145" s="27">
        <f t="shared" si="43"/>
        <v>-1.438651245834128E-2</v>
      </c>
      <c r="Y145" s="26">
        <f t="shared" si="44"/>
        <v>-1.438651245834128E-2</v>
      </c>
      <c r="Z145" s="6"/>
      <c r="AA145">
        <v>448.97000100000002</v>
      </c>
      <c r="AB145" s="27">
        <f t="shared" si="45"/>
        <v>-3.0759286743525675E-2</v>
      </c>
      <c r="AC145" s="26">
        <f t="shared" si="46"/>
        <v>-3.0759286743525675E-2</v>
      </c>
      <c r="AD145" s="6"/>
      <c r="AE145">
        <v>1969.150024</v>
      </c>
      <c r="AF145" s="27">
        <f t="shared" si="47"/>
        <v>7.028395922767946E-3</v>
      </c>
      <c r="AG145" s="27">
        <f t="shared" si="48"/>
        <v>7.028395922767946E-3</v>
      </c>
      <c r="AH145" s="6"/>
      <c r="AI145">
        <v>33.613098000000001</v>
      </c>
      <c r="AJ145" s="27">
        <f t="shared" si="49"/>
        <v>-2.3077283742188922E-2</v>
      </c>
      <c r="AK145" s="27">
        <f t="shared" si="50"/>
        <v>-2.3077283742188922E-2</v>
      </c>
    </row>
    <row r="146" spans="1:37" ht="14.5" x14ac:dyDescent="0.35">
      <c r="A146" s="1">
        <v>44840</v>
      </c>
      <c r="B146">
        <v>53.444198999999998</v>
      </c>
      <c r="D146" s="12">
        <f t="shared" si="40"/>
        <v>7.4844418568059706E-6</v>
      </c>
      <c r="E146" s="13">
        <f t="shared" si="34"/>
        <v>7.4844418568059706E-6</v>
      </c>
      <c r="F146" s="6"/>
      <c r="G146">
        <v>1005.710022</v>
      </c>
      <c r="H146" s="9">
        <f t="shared" si="35"/>
        <v>-1</v>
      </c>
      <c r="I146" s="10" t="str">
        <f t="shared" si="36"/>
        <v/>
      </c>
      <c r="J146" s="6"/>
      <c r="K146">
        <v>191.279999</v>
      </c>
      <c r="L146" s="9">
        <f t="shared" si="37"/>
        <v>-6.3257633120334745E-3</v>
      </c>
      <c r="M146" s="10">
        <f t="shared" si="41"/>
        <v>-6.3257633120334745E-3</v>
      </c>
      <c r="N146" s="6"/>
      <c r="O146">
        <v>102.019997</v>
      </c>
      <c r="P146" s="9">
        <f t="shared" si="38"/>
        <v>8.429719910695542E-3</v>
      </c>
      <c r="Q146" s="10">
        <f t="shared" si="39"/>
        <v>8.429719910695542E-3</v>
      </c>
      <c r="R146" s="6"/>
      <c r="S146">
        <v>5949.6499020000001</v>
      </c>
      <c r="T146" s="28">
        <f t="shared" si="42"/>
        <v>2.5035119452983198E-2</v>
      </c>
      <c r="V146" s="6"/>
      <c r="W146">
        <v>71.25</v>
      </c>
      <c r="X146" s="27">
        <f t="shared" si="43"/>
        <v>-1.0666694736842106E-2</v>
      </c>
      <c r="Y146" s="26">
        <f t="shared" si="44"/>
        <v>-1.0666694736842106E-2</v>
      </c>
      <c r="Z146" s="6"/>
      <c r="AA146">
        <v>435.16000400000001</v>
      </c>
      <c r="AB146" s="27">
        <f t="shared" si="45"/>
        <v>-1</v>
      </c>
      <c r="AC146" s="26" t="str">
        <f t="shared" si="46"/>
        <v/>
      </c>
      <c r="AD146" s="6"/>
      <c r="AE146">
        <v>1982.98999</v>
      </c>
      <c r="AF146" s="27">
        <f t="shared" si="47"/>
        <v>-4.9874250752017487E-3</v>
      </c>
      <c r="AG146" s="27">
        <f t="shared" si="48"/>
        <v>-4.9874250752017487E-3</v>
      </c>
      <c r="AH146" s="6"/>
      <c r="AI146">
        <v>32.837398999999998</v>
      </c>
      <c r="AJ146" s="27">
        <f t="shared" si="49"/>
        <v>-2.1746545760216725E-2</v>
      </c>
      <c r="AK146" s="27">
        <f t="shared" si="50"/>
        <v>-2.1746545760216725E-2</v>
      </c>
    </row>
    <row r="147" spans="1:37" ht="14.5" x14ac:dyDescent="0.35">
      <c r="A147" s="1">
        <v>44841</v>
      </c>
      <c r="B147">
        <v>53.444598999999997</v>
      </c>
      <c r="D147" s="12">
        <f t="shared" si="40"/>
        <v>-1</v>
      </c>
      <c r="E147" s="13" t="str">
        <f t="shared" si="34"/>
        <v/>
      </c>
      <c r="F147" s="6"/>
      <c r="G147" t="s">
        <v>42</v>
      </c>
      <c r="H147" s="9">
        <f t="shared" si="35"/>
        <v>-1</v>
      </c>
      <c r="I147" s="10" t="str">
        <f t="shared" si="36"/>
        <v/>
      </c>
      <c r="J147" s="6"/>
      <c r="K147">
        <v>190.070007</v>
      </c>
      <c r="L147" s="9">
        <f t="shared" si="37"/>
        <v>-2.3149470394873647E-3</v>
      </c>
      <c r="M147" s="10">
        <f t="shared" si="41"/>
        <v>-2.3149470394873647E-3</v>
      </c>
      <c r="N147" s="6"/>
      <c r="O147">
        <v>102.879997</v>
      </c>
      <c r="P147" s="9">
        <f t="shared" si="38"/>
        <v>-1.8856872633851225E-2</v>
      </c>
      <c r="Q147" s="10">
        <f t="shared" si="39"/>
        <v>-1.8856872633851225E-2</v>
      </c>
      <c r="R147" s="6"/>
      <c r="S147">
        <v>6098.6000979999999</v>
      </c>
      <c r="T147" s="28">
        <f t="shared" si="42"/>
        <v>-9.5596987936820085E-4</v>
      </c>
      <c r="V147" s="6"/>
      <c r="W147">
        <v>70.489998</v>
      </c>
      <c r="X147" s="27">
        <f t="shared" si="43"/>
        <v>-1.4328202988458072E-2</v>
      </c>
      <c r="Y147" s="26">
        <f t="shared" si="44"/>
        <v>-1.4328202988458072E-2</v>
      </c>
      <c r="Z147" s="6"/>
      <c r="AA147" t="s">
        <v>42</v>
      </c>
      <c r="AB147" s="27">
        <f t="shared" si="45"/>
        <v>-1</v>
      </c>
      <c r="AC147" s="26" t="str">
        <f t="shared" si="46"/>
        <v/>
      </c>
      <c r="AD147" s="6"/>
      <c r="AE147">
        <v>1973.099976</v>
      </c>
      <c r="AF147" s="27">
        <f t="shared" si="47"/>
        <v>-3.6759429771540321E-2</v>
      </c>
      <c r="AG147" s="27">
        <f t="shared" si="48"/>
        <v>-3.6759429771540321E-2</v>
      </c>
      <c r="AH147" s="6"/>
      <c r="AI147">
        <v>32.123299000000003</v>
      </c>
      <c r="AJ147" s="27">
        <f t="shared" si="49"/>
        <v>-7.5365235681429275E-3</v>
      </c>
      <c r="AK147" s="27">
        <f t="shared" si="50"/>
        <v>-7.5365235681429275E-3</v>
      </c>
    </row>
    <row r="148" spans="1:37" ht="14.5" x14ac:dyDescent="0.35">
      <c r="A148" s="1">
        <v>44844</v>
      </c>
      <c r="B148" t="s">
        <v>42</v>
      </c>
      <c r="D148" s="12">
        <f t="shared" si="40"/>
        <v>-1</v>
      </c>
      <c r="E148" s="13" t="str">
        <f t="shared" si="34"/>
        <v/>
      </c>
      <c r="F148" s="6"/>
      <c r="G148">
        <v>1009.659973</v>
      </c>
      <c r="H148" s="9">
        <f t="shared" si="35"/>
        <v>-1</v>
      </c>
      <c r="I148" s="10" t="str">
        <f t="shared" si="36"/>
        <v/>
      </c>
      <c r="J148" s="6"/>
      <c r="K148">
        <v>189.63000500000001</v>
      </c>
      <c r="L148" s="9">
        <f t="shared" si="37"/>
        <v>1.6189378890750884E-2</v>
      </c>
      <c r="M148" s="10">
        <f t="shared" si="41"/>
        <v>1.6189378890750884E-2</v>
      </c>
      <c r="N148" s="6"/>
      <c r="O148">
        <v>100.94000200000001</v>
      </c>
      <c r="P148" s="9">
        <f t="shared" si="38"/>
        <v>-1.8823072739784601E-2</v>
      </c>
      <c r="Q148" s="10">
        <f t="shared" si="39"/>
        <v>-1.8823072739784601E-2</v>
      </c>
      <c r="R148" s="6"/>
      <c r="S148">
        <v>6092.7700199999999</v>
      </c>
      <c r="T148" s="28">
        <f t="shared" si="42"/>
        <v>-7.5433605485078796E-3</v>
      </c>
      <c r="V148" s="6"/>
      <c r="W148">
        <v>69.480002999999996</v>
      </c>
      <c r="X148" s="27">
        <f t="shared" si="43"/>
        <v>8.6352903582930657E-4</v>
      </c>
      <c r="Y148" s="26">
        <f t="shared" si="44"/>
        <v>8.6352903582930657E-4</v>
      </c>
      <c r="Z148" s="6"/>
      <c r="AA148">
        <v>420.63000499999998</v>
      </c>
      <c r="AB148" s="27">
        <f t="shared" si="45"/>
        <v>-3.1833237859481771E-2</v>
      </c>
      <c r="AC148" s="26">
        <f t="shared" si="46"/>
        <v>-3.1833237859481771E-2</v>
      </c>
      <c r="AD148" s="6"/>
      <c r="AE148">
        <v>1900.5699460000001</v>
      </c>
      <c r="AF148" s="27">
        <f t="shared" si="47"/>
        <v>-9.9180643362652039E-3</v>
      </c>
      <c r="AG148" s="27">
        <f t="shared" si="48"/>
        <v>-9.9180643362652039E-3</v>
      </c>
      <c r="AH148" s="6"/>
      <c r="AI148">
        <v>31.881201000000001</v>
      </c>
      <c r="AJ148" s="27">
        <f t="shared" si="49"/>
        <v>2.6401107034832279E-2</v>
      </c>
      <c r="AK148" s="27">
        <f t="shared" si="50"/>
        <v>2.6401107034832279E-2</v>
      </c>
    </row>
    <row r="149" spans="1:37" ht="14.5" x14ac:dyDescent="0.35">
      <c r="A149" s="1">
        <v>44845</v>
      </c>
      <c r="B149">
        <v>53.445999</v>
      </c>
      <c r="D149" s="12">
        <f t="shared" si="40"/>
        <v>2.0637653344275971E-5</v>
      </c>
      <c r="E149" s="13">
        <f t="shared" si="34"/>
        <v>2.0637653344275971E-5</v>
      </c>
      <c r="F149" s="6"/>
      <c r="G149" t="s">
        <v>42</v>
      </c>
      <c r="H149" s="9">
        <f t="shared" si="35"/>
        <v>-1</v>
      </c>
      <c r="I149" s="10" t="str">
        <f t="shared" si="36"/>
        <v/>
      </c>
      <c r="J149" s="6"/>
      <c r="K149">
        <v>192.699997</v>
      </c>
      <c r="L149" s="9">
        <f t="shared" si="37"/>
        <v>-1.5879595472956896E-2</v>
      </c>
      <c r="M149" s="10">
        <f t="shared" si="41"/>
        <v>-1.5879595472956896E-2</v>
      </c>
      <c r="N149" s="6"/>
      <c r="O149">
        <v>99.040001000000004</v>
      </c>
      <c r="P149" s="9">
        <f t="shared" si="38"/>
        <v>-1.0096930431169927E-2</v>
      </c>
      <c r="Q149" s="10">
        <f t="shared" si="39"/>
        <v>-1.0096930431169927E-2</v>
      </c>
      <c r="R149" s="6"/>
      <c r="S149">
        <v>6046.8100590000004</v>
      </c>
      <c r="T149" s="28">
        <f t="shared" si="42"/>
        <v>-4.1724447690313013E-3</v>
      </c>
      <c r="V149" s="6"/>
      <c r="W149">
        <v>69.540001000000004</v>
      </c>
      <c r="X149" s="27">
        <f t="shared" si="43"/>
        <v>-5.3207218101707669E-3</v>
      </c>
      <c r="Y149" s="26">
        <f t="shared" si="44"/>
        <v>-5.3207218101707669E-3</v>
      </c>
      <c r="Z149" s="6"/>
      <c r="AA149">
        <v>407.23998999999998</v>
      </c>
      <c r="AB149" s="27">
        <f t="shared" si="45"/>
        <v>4.7244920617938363E-2</v>
      </c>
      <c r="AC149" s="26">
        <f t="shared" si="46"/>
        <v>4.7244920617938363E-2</v>
      </c>
      <c r="AD149" s="6"/>
      <c r="AE149">
        <v>1881.719971</v>
      </c>
      <c r="AF149" s="27">
        <f t="shared" si="47"/>
        <v>-1.3073133292477539E-2</v>
      </c>
      <c r="AG149" s="27">
        <f t="shared" si="48"/>
        <v>-1.3073133292477539E-2</v>
      </c>
      <c r="AH149" s="6"/>
      <c r="AI149">
        <v>32.722900000000003</v>
      </c>
      <c r="AJ149" s="27">
        <f t="shared" si="49"/>
        <v>-3.066045491078119E-2</v>
      </c>
      <c r="AK149" s="27">
        <f t="shared" si="50"/>
        <v>-3.066045491078119E-2</v>
      </c>
    </row>
    <row r="150" spans="1:37" ht="14.5" x14ac:dyDescent="0.35">
      <c r="A150" s="1">
        <v>44846</v>
      </c>
      <c r="B150">
        <v>53.447102000000001</v>
      </c>
      <c r="D150" s="12">
        <f t="shared" si="40"/>
        <v>3.5530457759929612E-5</v>
      </c>
      <c r="E150" s="13">
        <f t="shared" si="34"/>
        <v>3.5530457759929612E-5</v>
      </c>
      <c r="F150" s="6"/>
      <c r="G150">
        <v>1002.599976</v>
      </c>
      <c r="H150" s="9">
        <f t="shared" si="35"/>
        <v>-4.0993278459842443E-3</v>
      </c>
      <c r="I150" s="10">
        <f t="shared" si="36"/>
        <v>-4.0993278459842443E-3</v>
      </c>
      <c r="J150" s="6"/>
      <c r="K150">
        <v>189.63999899999999</v>
      </c>
      <c r="L150" s="9">
        <f t="shared" si="37"/>
        <v>2.6576640089520393E-2</v>
      </c>
      <c r="M150" s="10">
        <f t="shared" si="41"/>
        <v>2.6576640089520393E-2</v>
      </c>
      <c r="N150" s="6"/>
      <c r="O150">
        <v>98.040001000000004</v>
      </c>
      <c r="P150" s="9">
        <f t="shared" si="38"/>
        <v>-3.121172958780373E-2</v>
      </c>
      <c r="Q150" s="10">
        <f t="shared" si="39"/>
        <v>-3.121172958780373E-2</v>
      </c>
      <c r="R150" s="6"/>
      <c r="S150">
        <v>6021.580078</v>
      </c>
      <c r="T150" s="28">
        <f t="shared" si="42"/>
        <v>9.0707283291899445E-3</v>
      </c>
      <c r="V150" s="6"/>
      <c r="W150">
        <v>69.169998000000007</v>
      </c>
      <c r="X150" s="27">
        <f t="shared" si="43"/>
        <v>-4.3369959328325641E-4</v>
      </c>
      <c r="Y150" s="26">
        <f t="shared" si="44"/>
        <v>-4.3369959328325641E-4</v>
      </c>
      <c r="Z150" s="6"/>
      <c r="AA150">
        <v>426.48001099999999</v>
      </c>
      <c r="AB150" s="27">
        <f t="shared" si="45"/>
        <v>1.2895985411142394E-3</v>
      </c>
      <c r="AC150" s="26">
        <f t="shared" si="46"/>
        <v>1.2895985411142394E-3</v>
      </c>
      <c r="AD150" s="6"/>
      <c r="AE150">
        <v>1857.119995</v>
      </c>
      <c r="AF150" s="27">
        <f t="shared" si="47"/>
        <v>-2.8215678115080735E-3</v>
      </c>
      <c r="AG150" s="27">
        <f t="shared" si="48"/>
        <v>-2.8215678115080735E-3</v>
      </c>
      <c r="AH150" s="6"/>
      <c r="AI150">
        <v>31.719601000000001</v>
      </c>
      <c r="AJ150" s="27">
        <f t="shared" si="49"/>
        <v>2.1771932124871315E-2</v>
      </c>
      <c r="AK150" s="27">
        <f t="shared" si="50"/>
        <v>2.1771932124871315E-2</v>
      </c>
    </row>
    <row r="151" spans="1:37" ht="14.5" x14ac:dyDescent="0.35">
      <c r="A151" s="1">
        <v>44847</v>
      </c>
      <c r="B151">
        <v>53.449001000000003</v>
      </c>
      <c r="D151" s="12">
        <f t="shared" si="40"/>
        <v>-2.2470017727773507E-5</v>
      </c>
      <c r="E151" s="13">
        <f t="shared" si="34"/>
        <v>-2.2470017727773507E-5</v>
      </c>
      <c r="F151" s="6"/>
      <c r="G151">
        <v>998.48999000000003</v>
      </c>
      <c r="H151" s="9">
        <f t="shared" si="35"/>
        <v>-1</v>
      </c>
      <c r="I151" s="10" t="str">
        <f t="shared" si="36"/>
        <v/>
      </c>
      <c r="J151" s="6"/>
      <c r="K151">
        <v>194.679993</v>
      </c>
      <c r="L151" s="9">
        <f t="shared" si="37"/>
        <v>8.9377699946804317E-3</v>
      </c>
      <c r="M151" s="10">
        <f t="shared" si="41"/>
        <v>8.9377699946804317E-3</v>
      </c>
      <c r="N151" s="6"/>
      <c r="O151">
        <v>94.980002999999996</v>
      </c>
      <c r="P151" s="9">
        <f t="shared" si="38"/>
        <v>1.4739944786062028E-3</v>
      </c>
      <c r="Q151" s="10">
        <f t="shared" si="39"/>
        <v>1.4739944786062028E-3</v>
      </c>
      <c r="R151" s="6"/>
      <c r="S151">
        <v>6076.2001950000003</v>
      </c>
      <c r="T151" s="28">
        <f t="shared" si="42"/>
        <v>1.5873358991589277E-2</v>
      </c>
      <c r="V151" s="6"/>
      <c r="W151">
        <v>69.139999000000003</v>
      </c>
      <c r="X151" s="27">
        <f t="shared" si="43"/>
        <v>1.9236361284876404E-2</v>
      </c>
      <c r="Y151" s="26">
        <f t="shared" si="44"/>
        <v>1.9236361284876404E-2</v>
      </c>
      <c r="Z151" s="6"/>
      <c r="AA151">
        <v>427.02999899999998</v>
      </c>
      <c r="AB151" s="27">
        <f t="shared" si="45"/>
        <v>2.7773261896759695E-2</v>
      </c>
      <c r="AC151" s="26">
        <f t="shared" si="46"/>
        <v>2.7773261896759695E-2</v>
      </c>
      <c r="AD151" s="6"/>
      <c r="AE151">
        <v>1851.880005</v>
      </c>
      <c r="AF151" s="27">
        <f t="shared" si="47"/>
        <v>1.569212687730278E-2</v>
      </c>
      <c r="AG151" s="27">
        <f t="shared" si="48"/>
        <v>1.569212687730278E-2</v>
      </c>
      <c r="AH151" s="6"/>
      <c r="AI151">
        <v>32.410198000000001</v>
      </c>
      <c r="AJ151" s="27">
        <f t="shared" si="49"/>
        <v>1.0829986290117732E-2</v>
      </c>
      <c r="AK151" s="27">
        <f t="shared" si="50"/>
        <v>1.0829986290117732E-2</v>
      </c>
    </row>
    <row r="152" spans="1:37" ht="14.5" x14ac:dyDescent="0.35">
      <c r="A152" s="1">
        <v>44848</v>
      </c>
      <c r="B152">
        <v>53.447800000000001</v>
      </c>
      <c r="D152" s="12">
        <f t="shared" si="40"/>
        <v>-1</v>
      </c>
      <c r="E152" s="13" t="str">
        <f t="shared" si="34"/>
        <v/>
      </c>
      <c r="F152" s="6"/>
      <c r="G152" t="s">
        <v>42</v>
      </c>
      <c r="H152" s="9">
        <f t="shared" si="35"/>
        <v>-1</v>
      </c>
      <c r="I152" s="10" t="str">
        <f t="shared" si="36"/>
        <v/>
      </c>
      <c r="J152" s="6"/>
      <c r="K152">
        <v>196.41999799999999</v>
      </c>
      <c r="L152" s="9">
        <f t="shared" si="37"/>
        <v>-8.756750929200174E-3</v>
      </c>
      <c r="M152" s="10">
        <f t="shared" si="41"/>
        <v>-8.756750929200174E-3</v>
      </c>
      <c r="N152" s="6"/>
      <c r="O152">
        <v>95.120002999999997</v>
      </c>
      <c r="P152" s="9">
        <f t="shared" si="38"/>
        <v>3.0487740838275695E-2</v>
      </c>
      <c r="Q152" s="10">
        <f t="shared" si="39"/>
        <v>3.0487740838275695E-2</v>
      </c>
      <c r="R152" s="6"/>
      <c r="S152">
        <v>6172.6499020000001</v>
      </c>
      <c r="T152" s="28">
        <f t="shared" si="42"/>
        <v>1.1662776302390754E-2</v>
      </c>
      <c r="V152" s="6"/>
      <c r="W152">
        <v>70.470000999999996</v>
      </c>
      <c r="X152" s="27">
        <f t="shared" si="43"/>
        <v>-2.4833262028760295E-2</v>
      </c>
      <c r="Y152" s="26">
        <f t="shared" si="44"/>
        <v>-2.4833262028760295E-2</v>
      </c>
      <c r="Z152" s="6"/>
      <c r="AA152">
        <v>438.89001500000001</v>
      </c>
      <c r="AB152" s="27">
        <f t="shared" si="45"/>
        <v>-1</v>
      </c>
      <c r="AC152" s="26" t="str">
        <f t="shared" si="46"/>
        <v/>
      </c>
      <c r="AD152" s="6"/>
      <c r="AE152">
        <v>1880.9399410000001</v>
      </c>
      <c r="AF152" s="27">
        <f t="shared" si="47"/>
        <v>-2.9522424288825334E-2</v>
      </c>
      <c r="AG152" s="27">
        <f t="shared" si="48"/>
        <v>-2.9522424288825334E-2</v>
      </c>
      <c r="AH152" s="6"/>
      <c r="AI152">
        <v>32.761200000000002</v>
      </c>
      <c r="AJ152" s="27">
        <f t="shared" si="49"/>
        <v>-2.7746236401598495E-3</v>
      </c>
      <c r="AK152" s="27">
        <f t="shared" si="50"/>
        <v>-2.7746236401598495E-3</v>
      </c>
    </row>
    <row r="153" spans="1:37" ht="14.5" x14ac:dyDescent="0.35">
      <c r="A153" s="1">
        <v>44851</v>
      </c>
      <c r="B153" t="s">
        <v>42</v>
      </c>
      <c r="D153" s="12">
        <f t="shared" si="40"/>
        <v>-1</v>
      </c>
      <c r="E153" s="13" t="str">
        <f t="shared" si="34"/>
        <v/>
      </c>
      <c r="F153" s="6"/>
      <c r="G153">
        <v>992.92999299999997</v>
      </c>
      <c r="H153" s="9">
        <f t="shared" si="35"/>
        <v>-1.7119333809871326E-4</v>
      </c>
      <c r="I153" s="10">
        <f t="shared" si="36"/>
        <v>-1.7119333809871326E-4</v>
      </c>
      <c r="J153" s="6"/>
      <c r="K153">
        <v>194.699997</v>
      </c>
      <c r="L153" s="9">
        <f t="shared" si="37"/>
        <v>-3.1843606037651288E-3</v>
      </c>
      <c r="M153" s="10">
        <f t="shared" si="41"/>
        <v>-3.1843606037651288E-3</v>
      </c>
      <c r="N153" s="6"/>
      <c r="O153">
        <v>98.019997000000004</v>
      </c>
      <c r="P153" s="9">
        <f t="shared" si="38"/>
        <v>3.4992859671277E-2</v>
      </c>
      <c r="Q153" s="10">
        <f t="shared" si="39"/>
        <v>3.4992859671277E-2</v>
      </c>
      <c r="R153" s="6"/>
      <c r="S153">
        <v>6244.6401370000003</v>
      </c>
      <c r="T153" s="28">
        <f t="shared" si="42"/>
        <v>1.4748585663775561E-3</v>
      </c>
      <c r="V153" s="6"/>
      <c r="W153">
        <v>68.720000999999996</v>
      </c>
      <c r="X153" s="27">
        <f t="shared" si="43"/>
        <v>-1.9936015425843737E-2</v>
      </c>
      <c r="Y153" s="26">
        <f t="shared" si="44"/>
        <v>-1.9936015425843737E-2</v>
      </c>
      <c r="Z153" s="6"/>
      <c r="AA153" t="s">
        <v>42</v>
      </c>
      <c r="AB153" s="27">
        <f t="shared" si="45"/>
        <v>-1</v>
      </c>
      <c r="AC153" s="26" t="str">
        <f t="shared" si="46"/>
        <v/>
      </c>
      <c r="AD153" s="6"/>
      <c r="AE153">
        <v>1825.410034</v>
      </c>
      <c r="AF153" s="27">
        <f t="shared" si="47"/>
        <v>2.3643954616281066E-2</v>
      </c>
      <c r="AG153" s="27">
        <f t="shared" si="48"/>
        <v>2.3643954616281066E-2</v>
      </c>
      <c r="AH153" s="6"/>
      <c r="AI153">
        <v>32.670299999999997</v>
      </c>
      <c r="AJ153" s="27">
        <f t="shared" si="49"/>
        <v>3.440433666051458E-3</v>
      </c>
      <c r="AK153" s="27">
        <f t="shared" si="50"/>
        <v>3.440433666051458E-3</v>
      </c>
    </row>
    <row r="154" spans="1:37" ht="14.5" x14ac:dyDescent="0.35">
      <c r="A154" s="1">
        <v>44852</v>
      </c>
      <c r="B154">
        <v>53.451301999999998</v>
      </c>
      <c r="D154" s="12">
        <f t="shared" si="40"/>
        <v>4.3029821799255563E-5</v>
      </c>
      <c r="E154" s="13">
        <f t="shared" si="34"/>
        <v>4.3029821799255563E-5</v>
      </c>
      <c r="F154" s="6"/>
      <c r="G154">
        <v>992.76000999999997</v>
      </c>
      <c r="H154" s="9">
        <f t="shared" si="35"/>
        <v>1.6922438283952272E-3</v>
      </c>
      <c r="I154" s="10">
        <f t="shared" si="36"/>
        <v>1.6922438283952272E-3</v>
      </c>
      <c r="J154" s="6"/>
      <c r="K154">
        <v>194.08000200000001</v>
      </c>
      <c r="L154" s="9">
        <f t="shared" si="37"/>
        <v>1.33964909996239E-2</v>
      </c>
      <c r="M154" s="10">
        <f t="shared" si="41"/>
        <v>1.33964909996239E-2</v>
      </c>
      <c r="N154" s="6"/>
      <c r="O154">
        <v>101.449997</v>
      </c>
      <c r="P154" s="9">
        <f t="shared" si="38"/>
        <v>-8.8709711839616223E-4</v>
      </c>
      <c r="Q154" s="10">
        <f t="shared" si="39"/>
        <v>-8.8709711839616223E-4</v>
      </c>
      <c r="R154" s="6"/>
      <c r="S154">
        <v>6253.8500979999999</v>
      </c>
      <c r="T154" s="28">
        <f t="shared" si="42"/>
        <v>-9.8611129198191479E-3</v>
      </c>
      <c r="V154" s="6"/>
      <c r="W154">
        <v>67.349997999999999</v>
      </c>
      <c r="X154" s="27">
        <f t="shared" si="43"/>
        <v>1.2917639581815533E-2</v>
      </c>
      <c r="Y154" s="26">
        <f t="shared" si="44"/>
        <v>1.2917639581815533E-2</v>
      </c>
      <c r="Z154" s="6"/>
      <c r="AA154">
        <v>436.69000199999999</v>
      </c>
      <c r="AB154" s="27">
        <f t="shared" si="45"/>
        <v>-1.0007087361711608E-2</v>
      </c>
      <c r="AC154" s="26">
        <f t="shared" si="46"/>
        <v>-1.0007087361711608E-2</v>
      </c>
      <c r="AD154" s="6"/>
      <c r="AE154">
        <v>1868.5699460000001</v>
      </c>
      <c r="AF154" s="27">
        <f t="shared" si="47"/>
        <v>1.2009218091105856E-2</v>
      </c>
      <c r="AG154" s="27">
        <f t="shared" si="48"/>
        <v>1.2009218091105856E-2</v>
      </c>
      <c r="AH154" s="6"/>
      <c r="AI154">
        <v>32.782699999999998</v>
      </c>
      <c r="AJ154" s="27">
        <f t="shared" si="49"/>
        <v>2.8356389193080596E-2</v>
      </c>
      <c r="AK154" s="27">
        <f t="shared" si="50"/>
        <v>2.8356389193080596E-2</v>
      </c>
    </row>
    <row r="155" spans="1:37" ht="14.5" x14ac:dyDescent="0.35">
      <c r="A155" s="1">
        <v>44853</v>
      </c>
      <c r="B155">
        <v>53.453601999999997</v>
      </c>
      <c r="D155" s="12">
        <f t="shared" si="40"/>
        <v>8.0424888859747214E-5</v>
      </c>
      <c r="E155" s="13">
        <f t="shared" si="34"/>
        <v>8.0424888859747214E-5</v>
      </c>
      <c r="F155" s="6"/>
      <c r="G155">
        <v>994.44000200000005</v>
      </c>
      <c r="H155" s="9">
        <f t="shared" si="35"/>
        <v>-1.6189865620470599E-3</v>
      </c>
      <c r="I155" s="10">
        <f t="shared" si="36"/>
        <v>-1.6189865620470599E-3</v>
      </c>
      <c r="J155" s="6"/>
      <c r="K155">
        <v>196.679993</v>
      </c>
      <c r="L155" s="9">
        <f t="shared" si="37"/>
        <v>1.6676907243941146E-2</v>
      </c>
      <c r="M155" s="10">
        <f t="shared" si="41"/>
        <v>1.6676907243941146E-2</v>
      </c>
      <c r="N155" s="6"/>
      <c r="O155">
        <v>101.360001</v>
      </c>
      <c r="P155" s="9">
        <f t="shared" si="38"/>
        <v>-2.2494070417382925E-2</v>
      </c>
      <c r="Q155" s="10">
        <f t="shared" si="39"/>
        <v>-2.2494070417382925E-2</v>
      </c>
      <c r="R155" s="6"/>
      <c r="S155">
        <v>6192.1801759999998</v>
      </c>
      <c r="T155" s="28">
        <f t="shared" si="42"/>
        <v>1.4133958720906654E-2</v>
      </c>
      <c r="V155" s="6"/>
      <c r="W155">
        <v>68.220000999999996</v>
      </c>
      <c r="X155" s="27">
        <f t="shared" si="43"/>
        <v>-1.8762811217196983E-2</v>
      </c>
      <c r="Y155" s="26">
        <f t="shared" si="44"/>
        <v>-1.8762811217196983E-2</v>
      </c>
      <c r="Z155" s="6"/>
      <c r="AA155">
        <v>432.32000699999998</v>
      </c>
      <c r="AB155" s="27">
        <f t="shared" si="45"/>
        <v>1.7672057448870338E-2</v>
      </c>
      <c r="AC155" s="26">
        <f t="shared" si="46"/>
        <v>1.7672057448870338E-2</v>
      </c>
      <c r="AD155" s="6"/>
      <c r="AE155">
        <v>1891.01001</v>
      </c>
      <c r="AF155" s="27">
        <f t="shared" si="47"/>
        <v>-2.6018074859370851E-3</v>
      </c>
      <c r="AG155" s="27">
        <f t="shared" si="48"/>
        <v>-2.6018074859370851E-3</v>
      </c>
      <c r="AH155" s="6"/>
      <c r="AI155">
        <v>33.712299000000002</v>
      </c>
      <c r="AJ155" s="27">
        <f t="shared" si="49"/>
        <v>7.6203939695717324E-3</v>
      </c>
      <c r="AK155" s="27">
        <f t="shared" si="50"/>
        <v>7.6203939695717324E-3</v>
      </c>
    </row>
    <row r="156" spans="1:37" ht="14.5" x14ac:dyDescent="0.35">
      <c r="A156" s="1">
        <v>44854</v>
      </c>
      <c r="B156">
        <v>53.457901</v>
      </c>
      <c r="D156" s="12">
        <f t="shared" si="40"/>
        <v>-9.3531543635128406E-6</v>
      </c>
      <c r="E156" s="13">
        <f t="shared" si="34"/>
        <v>-9.3531543635128406E-6</v>
      </c>
      <c r="F156" s="6"/>
      <c r="G156">
        <v>992.830017</v>
      </c>
      <c r="H156" s="9">
        <f t="shared" si="35"/>
        <v>0</v>
      </c>
      <c r="I156" s="10">
        <f t="shared" si="36"/>
        <v>0</v>
      </c>
      <c r="J156" s="6"/>
      <c r="K156">
        <v>199.96000699999999</v>
      </c>
      <c r="L156" s="9">
        <f t="shared" si="37"/>
        <v>2.1654260094119818E-2</v>
      </c>
      <c r="M156" s="10">
        <f t="shared" si="41"/>
        <v>2.1654260094119818E-2</v>
      </c>
      <c r="N156" s="6"/>
      <c r="O156">
        <v>99.080001999999993</v>
      </c>
      <c r="P156" s="9">
        <f t="shared" si="38"/>
        <v>1.9176432798214956E-2</v>
      </c>
      <c r="Q156" s="10">
        <f t="shared" si="39"/>
        <v>1.9176432798214956E-2</v>
      </c>
      <c r="R156" s="6"/>
      <c r="S156">
        <v>6279.7001950000003</v>
      </c>
      <c r="T156" s="28">
        <f t="shared" si="42"/>
        <v>7.9716498312862177E-3</v>
      </c>
      <c r="V156" s="6"/>
      <c r="W156">
        <v>66.940002000000007</v>
      </c>
      <c r="X156" s="27">
        <f t="shared" si="43"/>
        <v>4.2426007098117453E-2</v>
      </c>
      <c r="Y156" s="26">
        <f t="shared" si="44"/>
        <v>4.2426007098117453E-2</v>
      </c>
      <c r="Z156" s="6"/>
      <c r="AA156">
        <v>439.959991</v>
      </c>
      <c r="AB156" s="27">
        <f t="shared" si="45"/>
        <v>3.1616520330367985E-2</v>
      </c>
      <c r="AC156" s="26">
        <f t="shared" si="46"/>
        <v>3.1616520330367985E-2</v>
      </c>
      <c r="AD156" s="6"/>
      <c r="AE156">
        <v>1886.089966</v>
      </c>
      <c r="AF156" s="27">
        <f t="shared" si="47"/>
        <v>-4.96794700619282E-3</v>
      </c>
      <c r="AG156" s="27">
        <f t="shared" si="48"/>
        <v>-4.96794700619282E-3</v>
      </c>
      <c r="AH156" s="6"/>
      <c r="AI156">
        <v>33.969200000000001</v>
      </c>
      <c r="AJ156" s="27">
        <f t="shared" si="49"/>
        <v>1.8867091365119049E-2</v>
      </c>
      <c r="AK156" s="27">
        <f t="shared" si="50"/>
        <v>1.8867091365119049E-2</v>
      </c>
    </row>
    <row r="157" spans="1:37" ht="14.5" x14ac:dyDescent="0.35">
      <c r="A157" s="1">
        <v>44855</v>
      </c>
      <c r="B157">
        <v>53.457400999999997</v>
      </c>
      <c r="D157" s="12">
        <f t="shared" si="40"/>
        <v>-1</v>
      </c>
      <c r="E157" s="13" t="str">
        <f t="shared" si="34"/>
        <v/>
      </c>
      <c r="F157" s="6"/>
      <c r="G157">
        <v>992.830017</v>
      </c>
      <c r="H157" s="9">
        <f t="shared" si="35"/>
        <v>-2.2259822549261028E-3</v>
      </c>
      <c r="I157" s="10">
        <f t="shared" si="36"/>
        <v>-2.2259822549261028E-3</v>
      </c>
      <c r="J157" s="6"/>
      <c r="K157">
        <v>204.28999300000001</v>
      </c>
      <c r="L157" s="9">
        <f t="shared" si="37"/>
        <v>-7.9298793651631141E-3</v>
      </c>
      <c r="M157" s="10">
        <f t="shared" si="41"/>
        <v>-7.9298793651631141E-3</v>
      </c>
      <c r="N157" s="6"/>
      <c r="O157">
        <v>100.980003</v>
      </c>
      <c r="P157" s="9">
        <f t="shared" si="38"/>
        <v>-1.4161219622859317E-2</v>
      </c>
      <c r="Q157" s="10">
        <f t="shared" si="39"/>
        <v>-1.4161219622859317E-2</v>
      </c>
      <c r="R157" s="6"/>
      <c r="S157">
        <v>6329.7597660000001</v>
      </c>
      <c r="T157" s="28">
        <f t="shared" si="42"/>
        <v>3.4045988784213582E-3</v>
      </c>
      <c r="V157" s="6"/>
      <c r="W157">
        <v>69.779999000000004</v>
      </c>
      <c r="X157" s="27">
        <f t="shared" si="43"/>
        <v>3.4393823938002679E-2</v>
      </c>
      <c r="Y157" s="26">
        <f t="shared" si="44"/>
        <v>3.4393823938002679E-2</v>
      </c>
      <c r="Z157" s="6"/>
      <c r="AA157">
        <v>453.86999500000002</v>
      </c>
      <c r="AB157" s="27">
        <f t="shared" si="45"/>
        <v>-4.8031220922635006E-3</v>
      </c>
      <c r="AC157" s="26">
        <f t="shared" si="46"/>
        <v>-4.8031220922635006E-3</v>
      </c>
      <c r="AD157" s="6"/>
      <c r="AE157">
        <v>1876.719971</v>
      </c>
      <c r="AF157" s="27">
        <f t="shared" si="47"/>
        <v>2.2976254138236597E-2</v>
      </c>
      <c r="AG157" s="27">
        <f t="shared" si="48"/>
        <v>2.2976254138236597E-2</v>
      </c>
      <c r="AH157" s="6"/>
      <c r="AI157">
        <v>34.610100000000003</v>
      </c>
      <c r="AJ157" s="27">
        <f t="shared" si="49"/>
        <v>-1.0586562881933331E-2</v>
      </c>
      <c r="AK157" s="27">
        <f t="shared" si="50"/>
        <v>-1.0586562881933331E-2</v>
      </c>
    </row>
    <row r="158" spans="1:37" ht="14.5" x14ac:dyDescent="0.35">
      <c r="A158" s="1">
        <v>44858</v>
      </c>
      <c r="B158" t="s">
        <v>42</v>
      </c>
      <c r="D158" s="12">
        <f t="shared" si="40"/>
        <v>-1</v>
      </c>
      <c r="E158" s="13" t="str">
        <f t="shared" si="34"/>
        <v/>
      </c>
      <c r="F158" s="6"/>
      <c r="G158">
        <v>990.61999500000002</v>
      </c>
      <c r="H158" s="9">
        <f t="shared" si="35"/>
        <v>-1</v>
      </c>
      <c r="I158" s="10" t="str">
        <f t="shared" si="36"/>
        <v/>
      </c>
      <c r="J158" s="6"/>
      <c r="K158">
        <v>202.66999799999999</v>
      </c>
      <c r="L158" s="9">
        <f t="shared" si="37"/>
        <v>-1.1496531420501515E-2</v>
      </c>
      <c r="M158" s="10">
        <f t="shared" si="41"/>
        <v>-1.1496531420501515E-2</v>
      </c>
      <c r="N158" s="6"/>
      <c r="O158">
        <v>99.550003000000004</v>
      </c>
      <c r="P158" s="9">
        <f t="shared" si="38"/>
        <v>1.3460531990139661E-2</v>
      </c>
      <c r="Q158" s="10">
        <f t="shared" si="39"/>
        <v>1.3460531990139661E-2</v>
      </c>
      <c r="R158" s="6"/>
      <c r="S158">
        <v>6351.3100590000004</v>
      </c>
      <c r="T158" s="28">
        <f t="shared" si="42"/>
        <v>-2.2307236567554376E-2</v>
      </c>
      <c r="V158" s="6"/>
      <c r="W158">
        <v>72.180000000000007</v>
      </c>
      <c r="X158" s="27">
        <f t="shared" si="43"/>
        <v>1.219171515655287E-2</v>
      </c>
      <c r="Y158" s="26">
        <f t="shared" si="44"/>
        <v>1.219171515655287E-2</v>
      </c>
      <c r="Z158" s="6"/>
      <c r="AA158">
        <v>451.69000199999999</v>
      </c>
      <c r="AB158" s="27">
        <f t="shared" si="45"/>
        <v>-1.0870293737429277E-2</v>
      </c>
      <c r="AC158" s="26">
        <f t="shared" si="46"/>
        <v>-1.0870293737429277E-2</v>
      </c>
      <c r="AD158" s="6"/>
      <c r="AE158">
        <v>1919.839966</v>
      </c>
      <c r="AF158" s="27">
        <f t="shared" si="47"/>
        <v>-7.2924047045279296E-4</v>
      </c>
      <c r="AG158" s="27">
        <f t="shared" si="48"/>
        <v>-7.2924047045279296E-4</v>
      </c>
      <c r="AH158" s="6"/>
      <c r="AI158">
        <v>34.243698000000002</v>
      </c>
      <c r="AJ158" s="27">
        <f t="shared" si="49"/>
        <v>-8.065688466239989E-3</v>
      </c>
      <c r="AK158" s="27">
        <f t="shared" si="50"/>
        <v>-8.065688466239989E-3</v>
      </c>
    </row>
    <row r="159" spans="1:37" ht="14.5" x14ac:dyDescent="0.35">
      <c r="A159" s="1">
        <v>44859</v>
      </c>
      <c r="B159" t="s">
        <v>42</v>
      </c>
      <c r="D159" s="12">
        <f t="shared" si="40"/>
        <v>-1</v>
      </c>
      <c r="E159" s="13" t="str">
        <f t="shared" si="34"/>
        <v/>
      </c>
      <c r="F159" s="6"/>
      <c r="G159" t="s">
        <v>42</v>
      </c>
      <c r="H159" s="9">
        <f t="shared" si="35"/>
        <v>-1</v>
      </c>
      <c r="I159" s="10" t="str">
        <f t="shared" si="36"/>
        <v/>
      </c>
      <c r="J159" s="6"/>
      <c r="K159">
        <v>200.33999600000001</v>
      </c>
      <c r="L159" s="9">
        <f t="shared" si="37"/>
        <v>2.0365389245590174E-2</v>
      </c>
      <c r="M159" s="10">
        <f t="shared" si="41"/>
        <v>2.0365389245590174E-2</v>
      </c>
      <c r="N159" s="6"/>
      <c r="O159">
        <v>100.889999</v>
      </c>
      <c r="P159" s="9">
        <f t="shared" si="38"/>
        <v>3.9349807110217079E-2</v>
      </c>
      <c r="Q159" s="10">
        <f t="shared" si="39"/>
        <v>3.9349807110217079E-2</v>
      </c>
      <c r="R159" s="6"/>
      <c r="S159">
        <v>6209.6298829999996</v>
      </c>
      <c r="T159" s="28">
        <f t="shared" si="42"/>
        <v>1.3166687152133559E-2</v>
      </c>
      <c r="V159" s="6"/>
      <c r="W159">
        <v>73.059997999999993</v>
      </c>
      <c r="X159" s="27">
        <f t="shared" si="43"/>
        <v>-2.737435059880459E-3</v>
      </c>
      <c r="Y159" s="26">
        <f t="shared" si="44"/>
        <v>-2.737435059880459E-3</v>
      </c>
      <c r="Z159" s="6"/>
      <c r="AA159">
        <v>446.77999899999998</v>
      </c>
      <c r="AB159" s="27">
        <f t="shared" si="45"/>
        <v>-1.0072339876610241E-3</v>
      </c>
      <c r="AC159" s="26">
        <f t="shared" si="46"/>
        <v>-1.0072339876610241E-3</v>
      </c>
      <c r="AD159" s="6"/>
      <c r="AE159">
        <v>1918.4399410000001</v>
      </c>
      <c r="AF159" s="27">
        <f t="shared" si="47"/>
        <v>2.0230009900528811E-2</v>
      </c>
      <c r="AG159" s="27">
        <f t="shared" si="48"/>
        <v>2.0230009900528811E-2</v>
      </c>
      <c r="AH159" s="6"/>
      <c r="AI159">
        <v>33.967498999999997</v>
      </c>
      <c r="AJ159" s="27">
        <f t="shared" si="49"/>
        <v>3.0243674990613999E-2</v>
      </c>
      <c r="AK159" s="27">
        <f t="shared" si="50"/>
        <v>3.0243674990613999E-2</v>
      </c>
    </row>
    <row r="160" spans="1:37" ht="14.5" x14ac:dyDescent="0.35">
      <c r="A160" s="1">
        <v>44860</v>
      </c>
      <c r="B160">
        <v>53.463901999999997</v>
      </c>
      <c r="D160" s="12">
        <f t="shared" si="40"/>
        <v>5.7926935448967088E-5</v>
      </c>
      <c r="E160" s="13">
        <f t="shared" si="34"/>
        <v>5.7926935448967088E-5</v>
      </c>
      <c r="F160" s="6"/>
      <c r="G160">
        <v>989.30999799999995</v>
      </c>
      <c r="H160" s="9">
        <f t="shared" si="35"/>
        <v>5.8525416822887699E-3</v>
      </c>
      <c r="I160" s="10">
        <f t="shared" si="36"/>
        <v>5.8525416822887699E-3</v>
      </c>
      <c r="J160" s="6"/>
      <c r="K160">
        <v>204.41999799999999</v>
      </c>
      <c r="L160" s="9">
        <f t="shared" si="37"/>
        <v>-8.9031993826748056E-3</v>
      </c>
      <c r="M160" s="10">
        <f t="shared" si="41"/>
        <v>-8.9031993826748056E-3</v>
      </c>
      <c r="N160" s="6"/>
      <c r="O160">
        <v>104.860001</v>
      </c>
      <c r="P160" s="9">
        <f t="shared" si="38"/>
        <v>-1.6211996793704972E-3</v>
      </c>
      <c r="Q160" s="10">
        <f t="shared" si="39"/>
        <v>-1.6211996793704972E-3</v>
      </c>
      <c r="R160" s="6"/>
      <c r="S160">
        <v>6291.3901370000003</v>
      </c>
      <c r="T160" s="28">
        <f t="shared" si="42"/>
        <v>1.4003279892289335E-2</v>
      </c>
      <c r="V160" s="6"/>
      <c r="W160">
        <v>72.860000999999997</v>
      </c>
      <c r="X160" s="27">
        <f t="shared" si="43"/>
        <v>3.2939472509752295E-3</v>
      </c>
      <c r="Y160" s="26">
        <f t="shared" si="44"/>
        <v>3.2939472509752295E-3</v>
      </c>
      <c r="Z160" s="6"/>
      <c r="AA160">
        <v>446.32998700000002</v>
      </c>
      <c r="AB160" s="27">
        <f t="shared" si="45"/>
        <v>5.3548138588322275E-3</v>
      </c>
      <c r="AC160" s="26">
        <f t="shared" si="46"/>
        <v>5.3548138588322275E-3</v>
      </c>
      <c r="AD160" s="6"/>
      <c r="AE160">
        <v>1957.25</v>
      </c>
      <c r="AF160" s="27">
        <f t="shared" si="47"/>
        <v>-2.0707640311661776E-2</v>
      </c>
      <c r="AG160" s="27">
        <f t="shared" si="48"/>
        <v>-2.0707640311661776E-2</v>
      </c>
      <c r="AH160" s="6"/>
      <c r="AI160">
        <v>34.994801000000002</v>
      </c>
      <c r="AJ160" s="27">
        <f t="shared" si="49"/>
        <v>-1.014719300732708E-2</v>
      </c>
      <c r="AK160" s="27">
        <f t="shared" si="50"/>
        <v>-1.014719300732708E-2</v>
      </c>
    </row>
    <row r="161" spans="1:37" ht="14.5" x14ac:dyDescent="0.35">
      <c r="A161" s="1">
        <v>44861</v>
      </c>
      <c r="B161">
        <v>53.466999000000001</v>
      </c>
      <c r="D161" s="12">
        <f t="shared" si="40"/>
        <v>4.4868798415204323E-5</v>
      </c>
      <c r="E161" s="13">
        <f t="shared" si="34"/>
        <v>4.4868798415204323E-5</v>
      </c>
      <c r="F161" s="6"/>
      <c r="G161">
        <v>995.09997599999997</v>
      </c>
      <c r="H161" s="9">
        <f t="shared" si="35"/>
        <v>-1</v>
      </c>
      <c r="I161" s="10" t="str">
        <f t="shared" si="36"/>
        <v/>
      </c>
      <c r="J161" s="6"/>
      <c r="K161">
        <v>202.60000600000001</v>
      </c>
      <c r="L161" s="9">
        <f t="shared" si="37"/>
        <v>-1</v>
      </c>
      <c r="M161" s="10" t="str">
        <f t="shared" si="41"/>
        <v/>
      </c>
      <c r="N161" s="6"/>
      <c r="O161">
        <v>104.69000200000001</v>
      </c>
      <c r="P161" s="9">
        <f t="shared" si="38"/>
        <v>2.5694860527369138E-2</v>
      </c>
      <c r="Q161" s="10">
        <f t="shared" si="39"/>
        <v>2.5694860527369138E-2</v>
      </c>
      <c r="R161" s="6"/>
      <c r="S161">
        <v>6379.4902339999999</v>
      </c>
      <c r="T161" s="28">
        <f t="shared" si="42"/>
        <v>1.9217469657153373E-3</v>
      </c>
      <c r="V161" s="6"/>
      <c r="W161">
        <v>73.099997999999999</v>
      </c>
      <c r="X161" s="27">
        <f t="shared" si="43"/>
        <v>-1</v>
      </c>
      <c r="Y161" s="26" t="str">
        <f t="shared" si="44"/>
        <v/>
      </c>
      <c r="Z161" s="6"/>
      <c r="AA161">
        <v>448.72000100000002</v>
      </c>
      <c r="AB161" s="27">
        <f t="shared" si="45"/>
        <v>1.7159676374665382E-3</v>
      </c>
      <c r="AC161" s="26">
        <f t="shared" si="46"/>
        <v>1.7159676374665382E-3</v>
      </c>
      <c r="AD161" s="6"/>
      <c r="AE161">
        <v>1916.719971</v>
      </c>
      <c r="AF161" s="27">
        <f t="shared" si="47"/>
        <v>8.4519127703084652E-4</v>
      </c>
      <c r="AG161" s="27">
        <f t="shared" si="48"/>
        <v>8.4519127703084652E-4</v>
      </c>
      <c r="AH161" s="6"/>
      <c r="AI161">
        <v>34.639702</v>
      </c>
      <c r="AJ161" s="27">
        <f t="shared" si="49"/>
        <v>-1</v>
      </c>
      <c r="AK161" s="27" t="str">
        <f t="shared" si="50"/>
        <v/>
      </c>
    </row>
    <row r="162" spans="1:37" ht="14.5" x14ac:dyDescent="0.35">
      <c r="A162" s="1">
        <v>44862</v>
      </c>
      <c r="B162">
        <v>53.469397999999998</v>
      </c>
      <c r="D162" s="12">
        <f t="shared" si="40"/>
        <v>-1</v>
      </c>
      <c r="E162" s="13" t="str">
        <f t="shared" si="34"/>
        <v/>
      </c>
      <c r="F162" s="6"/>
      <c r="G162" t="s">
        <v>42</v>
      </c>
      <c r="H162" s="9">
        <f t="shared" si="35"/>
        <v>-1</v>
      </c>
      <c r="I162" s="10" t="str">
        <f t="shared" si="36"/>
        <v/>
      </c>
      <c r="J162" s="6"/>
      <c r="K162" t="s">
        <v>42</v>
      </c>
      <c r="L162" s="9">
        <f t="shared" si="37"/>
        <v>-1</v>
      </c>
      <c r="M162" s="10" t="str">
        <f t="shared" si="41"/>
        <v/>
      </c>
      <c r="N162" s="6"/>
      <c r="O162">
        <v>107.379997</v>
      </c>
      <c r="P162" s="9">
        <f t="shared" si="38"/>
        <v>-1.8252924704402779E-2</v>
      </c>
      <c r="Q162" s="10">
        <f t="shared" si="39"/>
        <v>-1.8252924704402779E-2</v>
      </c>
      <c r="R162" s="6"/>
      <c r="S162">
        <v>6391.75</v>
      </c>
      <c r="T162" s="28">
        <f t="shared" si="42"/>
        <v>5.4836007353228225E-3</v>
      </c>
      <c r="V162" s="6"/>
      <c r="W162" t="s">
        <v>42</v>
      </c>
      <c r="X162" s="27">
        <f t="shared" si="43"/>
        <v>-1</v>
      </c>
      <c r="Y162" s="26" t="str">
        <f t="shared" si="44"/>
        <v/>
      </c>
      <c r="Z162" s="6"/>
      <c r="AA162">
        <v>449.48998999999998</v>
      </c>
      <c r="AB162" s="27">
        <f t="shared" si="45"/>
        <v>-1.5417455681271057E-2</v>
      </c>
      <c r="AC162" s="26">
        <f t="shared" si="46"/>
        <v>-1.5417455681271057E-2</v>
      </c>
      <c r="AD162" s="6"/>
      <c r="AE162">
        <v>1918.339966</v>
      </c>
      <c r="AF162" s="27">
        <f t="shared" si="47"/>
        <v>2.6053765696293724E-2</v>
      </c>
      <c r="AG162" s="27">
        <f t="shared" si="48"/>
        <v>2.6053765696293724E-2</v>
      </c>
      <c r="AH162" s="6"/>
      <c r="AI162" t="s">
        <v>42</v>
      </c>
      <c r="AJ162" s="27">
        <f t="shared" si="49"/>
        <v>-1</v>
      </c>
      <c r="AK162" s="27" t="str">
        <f t="shared" si="50"/>
        <v/>
      </c>
    </row>
    <row r="163" spans="1:37" ht="14.5" x14ac:dyDescent="0.35">
      <c r="A163" s="1">
        <v>44865</v>
      </c>
      <c r="B163" t="s">
        <v>42</v>
      </c>
      <c r="D163" s="12">
        <f t="shared" si="40"/>
        <v>-1</v>
      </c>
      <c r="E163" s="13" t="str">
        <f t="shared" si="34"/>
        <v/>
      </c>
      <c r="F163" s="6"/>
      <c r="G163">
        <v>1001.080017</v>
      </c>
      <c r="H163" s="9">
        <f t="shared" si="35"/>
        <v>1.8679775524877121E-3</v>
      </c>
      <c r="I163" s="10">
        <f t="shared" si="36"/>
        <v>1.8679775524877121E-3</v>
      </c>
      <c r="J163" s="6"/>
      <c r="K163">
        <v>196.770004</v>
      </c>
      <c r="L163" s="9">
        <f t="shared" si="37"/>
        <v>-1.9413563664917158E-2</v>
      </c>
      <c r="M163" s="10">
        <f t="shared" si="41"/>
        <v>-1.9413563664917158E-2</v>
      </c>
      <c r="N163" s="6"/>
      <c r="O163">
        <v>105.41999800000001</v>
      </c>
      <c r="P163" s="9">
        <f t="shared" si="38"/>
        <v>3.6994878334183456E-3</v>
      </c>
      <c r="Q163" s="10">
        <f t="shared" si="39"/>
        <v>3.6994878334183456E-3</v>
      </c>
      <c r="R163" s="6"/>
      <c r="S163">
        <v>6426.7998049999997</v>
      </c>
      <c r="T163" s="28">
        <f t="shared" si="42"/>
        <v>-4.7006226919494914E-3</v>
      </c>
      <c r="V163" s="6"/>
      <c r="W163">
        <v>72.510002</v>
      </c>
      <c r="X163" s="27">
        <f t="shared" si="43"/>
        <v>1.5584015567948861E-2</v>
      </c>
      <c r="Y163" s="26">
        <f t="shared" si="44"/>
        <v>1.5584015567948861E-2</v>
      </c>
      <c r="Z163" s="6"/>
      <c r="AA163">
        <v>442.55999800000001</v>
      </c>
      <c r="AB163" s="27">
        <f t="shared" si="45"/>
        <v>-2.8922604975246735E-2</v>
      </c>
      <c r="AC163" s="26">
        <f t="shared" si="46"/>
        <v>-2.8922604975246735E-2</v>
      </c>
      <c r="AD163" s="6"/>
      <c r="AE163">
        <v>1968.3199460000001</v>
      </c>
      <c r="AF163" s="27">
        <f t="shared" si="47"/>
        <v>3.4598333537386762E-3</v>
      </c>
      <c r="AG163" s="27">
        <f t="shared" si="48"/>
        <v>3.4598333537386762E-3</v>
      </c>
      <c r="AH163" s="6"/>
      <c r="AI163">
        <v>33.623299000000003</v>
      </c>
      <c r="AJ163" s="27">
        <f t="shared" si="49"/>
        <v>-2.5978920152957042E-2</v>
      </c>
      <c r="AK163" s="27">
        <f t="shared" si="50"/>
        <v>-2.5978920152957042E-2</v>
      </c>
    </row>
    <row r="164" spans="1:37" ht="14.5" x14ac:dyDescent="0.35">
      <c r="A164" s="1">
        <v>44866</v>
      </c>
      <c r="B164">
        <v>53.474400000000003</v>
      </c>
      <c r="D164" s="12">
        <f t="shared" si="40"/>
        <v>5.9841718654153153E-5</v>
      </c>
      <c r="E164" s="13">
        <f t="shared" si="34"/>
        <v>5.9841718654153153E-5</v>
      </c>
      <c r="F164" s="6"/>
      <c r="G164">
        <v>1002.950012</v>
      </c>
      <c r="H164" s="9">
        <f t="shared" si="35"/>
        <v>-1</v>
      </c>
      <c r="I164" s="10" t="str">
        <f t="shared" si="36"/>
        <v/>
      </c>
      <c r="J164" s="6"/>
      <c r="K164">
        <v>192.949997</v>
      </c>
      <c r="L164" s="9">
        <f t="shared" si="37"/>
        <v>1.9538761640923996E-2</v>
      </c>
      <c r="M164" s="10">
        <f t="shared" si="41"/>
        <v>1.9538761640923996E-2</v>
      </c>
      <c r="N164" s="6"/>
      <c r="O164">
        <v>105.80999799999999</v>
      </c>
      <c r="P164" s="9">
        <f t="shared" si="38"/>
        <v>-1</v>
      </c>
      <c r="Q164" s="10" t="str">
        <f t="shared" si="39"/>
        <v/>
      </c>
      <c r="R164" s="6"/>
      <c r="S164">
        <v>6396.5898440000001</v>
      </c>
      <c r="T164" s="28">
        <f t="shared" si="42"/>
        <v>3.3821198056481136E-2</v>
      </c>
      <c r="V164" s="6"/>
      <c r="W164">
        <v>73.639999000000003</v>
      </c>
      <c r="X164" s="27">
        <f t="shared" si="43"/>
        <v>4.3454644805195229E-3</v>
      </c>
      <c r="Y164" s="26">
        <f t="shared" si="44"/>
        <v>4.3454644805195229E-3</v>
      </c>
      <c r="Z164" s="6"/>
      <c r="AA164">
        <v>429.76001000000002</v>
      </c>
      <c r="AB164" s="27">
        <f t="shared" si="45"/>
        <v>-1</v>
      </c>
      <c r="AC164" s="26" t="str">
        <f t="shared" si="46"/>
        <v/>
      </c>
      <c r="AD164" s="6"/>
      <c r="AE164">
        <v>1975.130005</v>
      </c>
      <c r="AF164" s="27">
        <f t="shared" si="47"/>
        <v>-1</v>
      </c>
      <c r="AG164" s="27" t="str">
        <f t="shared" si="48"/>
        <v/>
      </c>
      <c r="AH164" s="6"/>
      <c r="AI164">
        <v>32.749802000000003</v>
      </c>
      <c r="AJ164" s="27">
        <f t="shared" si="49"/>
        <v>2.5410810117264086E-2</v>
      </c>
      <c r="AK164" s="27">
        <f t="shared" si="50"/>
        <v>2.5410810117264086E-2</v>
      </c>
    </row>
    <row r="165" spans="1:37" ht="14.5" x14ac:dyDescent="0.35">
      <c r="A165" s="1">
        <v>44867</v>
      </c>
      <c r="B165">
        <v>53.477600000000002</v>
      </c>
      <c r="D165" s="12">
        <f t="shared" si="40"/>
        <v>4.3008661570418123E-5</v>
      </c>
      <c r="E165" s="13">
        <f t="shared" si="34"/>
        <v>4.3008661570418123E-5</v>
      </c>
      <c r="F165" s="6"/>
      <c r="G165" t="s">
        <v>42</v>
      </c>
      <c r="H165" s="9">
        <f t="shared" si="35"/>
        <v>-1</v>
      </c>
      <c r="I165" s="10" t="str">
        <f t="shared" si="36"/>
        <v/>
      </c>
      <c r="J165" s="6"/>
      <c r="K165">
        <v>196.720001</v>
      </c>
      <c r="L165" s="9">
        <f t="shared" si="37"/>
        <v>1.4335054827495723E-2</v>
      </c>
      <c r="M165" s="10">
        <f t="shared" si="41"/>
        <v>1.4335054827495723E-2</v>
      </c>
      <c r="N165" s="6"/>
      <c r="O165" t="s">
        <v>42</v>
      </c>
      <c r="P165" s="9">
        <f t="shared" si="38"/>
        <v>-1</v>
      </c>
      <c r="Q165" s="10" t="str">
        <f t="shared" si="39"/>
        <v/>
      </c>
      <c r="R165" s="6"/>
      <c r="S165">
        <v>6612.9301759999998</v>
      </c>
      <c r="T165" s="28">
        <f t="shared" si="42"/>
        <v>1.4350289126658089E-3</v>
      </c>
      <c r="V165" s="6"/>
      <c r="W165">
        <v>73.959998999999996</v>
      </c>
      <c r="X165" s="27">
        <f t="shared" si="43"/>
        <v>0</v>
      </c>
      <c r="Y165" s="26">
        <f t="shared" si="44"/>
        <v>0</v>
      </c>
      <c r="Z165" s="6"/>
      <c r="AA165" t="s">
        <v>42</v>
      </c>
      <c r="AB165" s="27">
        <f t="shared" si="45"/>
        <v>-1</v>
      </c>
      <c r="AC165" s="26" t="str">
        <f t="shared" si="46"/>
        <v/>
      </c>
      <c r="AD165" s="6"/>
      <c r="AE165" t="s">
        <v>42</v>
      </c>
      <c r="AF165" s="27">
        <f t="shared" si="47"/>
        <v>-1</v>
      </c>
      <c r="AG165" s="27" t="str">
        <f t="shared" si="48"/>
        <v/>
      </c>
      <c r="AH165" s="6"/>
      <c r="AI165">
        <v>33.582000999999998</v>
      </c>
      <c r="AJ165" s="27">
        <f t="shared" si="49"/>
        <v>1.6577273045760565E-2</v>
      </c>
      <c r="AK165" s="27">
        <f t="shared" si="50"/>
        <v>1.6577273045760565E-2</v>
      </c>
    </row>
    <row r="166" spans="1:37" ht="14.5" x14ac:dyDescent="0.35">
      <c r="A166" s="1">
        <v>44868</v>
      </c>
      <c r="B166">
        <v>53.479900000000001</v>
      </c>
      <c r="D166" s="12">
        <f t="shared" si="40"/>
        <v>-1</v>
      </c>
      <c r="E166" s="13" t="str">
        <f t="shared" si="34"/>
        <v/>
      </c>
      <c r="F166" s="6"/>
      <c r="G166" t="s">
        <v>42</v>
      </c>
      <c r="H166" s="9">
        <f t="shared" si="35"/>
        <v>-1</v>
      </c>
      <c r="I166" s="10" t="str">
        <f t="shared" si="36"/>
        <v/>
      </c>
      <c r="J166" s="6"/>
      <c r="K166">
        <v>199.53999300000001</v>
      </c>
      <c r="L166" s="9">
        <f t="shared" si="37"/>
        <v>1.1626782005550142E-2</v>
      </c>
      <c r="M166" s="10">
        <f t="shared" si="41"/>
        <v>1.1626782005550142E-2</v>
      </c>
      <c r="N166" s="6"/>
      <c r="O166">
        <v>106.230003</v>
      </c>
      <c r="P166" s="9">
        <f t="shared" si="38"/>
        <v>-2.362799519077487E-2</v>
      </c>
      <c r="Q166" s="10">
        <f t="shared" si="39"/>
        <v>-2.362799519077487E-2</v>
      </c>
      <c r="R166" s="6"/>
      <c r="S166">
        <v>6622.419922</v>
      </c>
      <c r="T166" s="28">
        <f t="shared" si="42"/>
        <v>6.643948967028538E-4</v>
      </c>
      <c r="V166" s="6"/>
      <c r="W166">
        <v>73.959998999999996</v>
      </c>
      <c r="X166" s="27">
        <f t="shared" si="43"/>
        <v>3.0962696470561119E-2</v>
      </c>
      <c r="Y166" s="26">
        <f t="shared" si="44"/>
        <v>3.0962696470561119E-2</v>
      </c>
      <c r="Z166" s="6"/>
      <c r="AA166">
        <v>417.040009</v>
      </c>
      <c r="AB166" s="27">
        <f t="shared" si="45"/>
        <v>1.7288487541731283E-2</v>
      </c>
      <c r="AC166" s="26">
        <f t="shared" si="46"/>
        <v>1.7288487541731283E-2</v>
      </c>
      <c r="AD166" s="6"/>
      <c r="AE166">
        <v>1894.0500489999999</v>
      </c>
      <c r="AF166" s="27">
        <f t="shared" si="47"/>
        <v>1.9112456938037423E-3</v>
      </c>
      <c r="AG166" s="27">
        <f t="shared" si="48"/>
        <v>1.9112456938037423E-3</v>
      </c>
      <c r="AH166" s="6"/>
      <c r="AI166">
        <v>34.138699000000003</v>
      </c>
      <c r="AJ166" s="27">
        <f t="shared" si="49"/>
        <v>1.1889791113598017E-2</v>
      </c>
      <c r="AK166" s="27">
        <f t="shared" si="50"/>
        <v>1.1889791113598017E-2</v>
      </c>
    </row>
    <row r="167" spans="1:37" ht="14.5" x14ac:dyDescent="0.35">
      <c r="A167" s="1">
        <v>44869</v>
      </c>
      <c r="B167" t="s">
        <v>42</v>
      </c>
      <c r="D167" s="12">
        <f t="shared" si="40"/>
        <v>-1</v>
      </c>
      <c r="E167" s="13" t="str">
        <f t="shared" si="34"/>
        <v/>
      </c>
      <c r="F167" s="6"/>
      <c r="G167">
        <v>1005.400024</v>
      </c>
      <c r="H167" s="9">
        <f t="shared" si="35"/>
        <v>-1</v>
      </c>
      <c r="I167" s="10" t="str">
        <f t="shared" si="36"/>
        <v/>
      </c>
      <c r="J167" s="6"/>
      <c r="K167">
        <v>201.86000100000001</v>
      </c>
      <c r="L167" s="9">
        <f t="shared" si="37"/>
        <v>-1.6942430313373565E-2</v>
      </c>
      <c r="M167" s="10">
        <f t="shared" si="41"/>
        <v>-1.6942430313373565E-2</v>
      </c>
      <c r="N167" s="6"/>
      <c r="O167">
        <v>103.720001</v>
      </c>
      <c r="P167" s="9">
        <f t="shared" si="38"/>
        <v>2.7670603281232161E-2</v>
      </c>
      <c r="Q167" s="10">
        <f t="shared" si="39"/>
        <v>2.7670603281232161E-2</v>
      </c>
      <c r="R167" s="6"/>
      <c r="S167">
        <v>6626.8198240000002</v>
      </c>
      <c r="T167" s="28">
        <f t="shared" si="42"/>
        <v>3.1055737965692363E-3</v>
      </c>
      <c r="V167" s="6"/>
      <c r="W167">
        <v>76.25</v>
      </c>
      <c r="X167" s="27">
        <f t="shared" si="43"/>
        <v>-3.0164327868851988E-3</v>
      </c>
      <c r="Y167" s="26">
        <f t="shared" si="44"/>
        <v>-3.0164327868851988E-3</v>
      </c>
      <c r="Z167" s="6"/>
      <c r="AA167">
        <v>424.25</v>
      </c>
      <c r="AB167" s="27">
        <f t="shared" si="45"/>
        <v>-9.6169404832056968E-3</v>
      </c>
      <c r="AC167" s="26">
        <f t="shared" si="46"/>
        <v>-9.6169404832056968E-3</v>
      </c>
      <c r="AD167" s="6"/>
      <c r="AE167">
        <v>1897.670044</v>
      </c>
      <c r="AF167" s="27">
        <f t="shared" si="47"/>
        <v>-5.6016086851397775E-3</v>
      </c>
      <c r="AG167" s="27">
        <f t="shared" si="48"/>
        <v>-5.6016086851397775E-3</v>
      </c>
      <c r="AH167" s="6"/>
      <c r="AI167">
        <v>34.544601</v>
      </c>
      <c r="AJ167" s="27">
        <f t="shared" si="49"/>
        <v>-2.4041412433740316E-2</v>
      </c>
      <c r="AK167" s="27">
        <f t="shared" si="50"/>
        <v>-2.4041412433740316E-2</v>
      </c>
    </row>
    <row r="168" spans="1:37" ht="14.5" x14ac:dyDescent="0.35">
      <c r="A168" s="1">
        <v>44872</v>
      </c>
      <c r="B168" t="s">
        <v>42</v>
      </c>
      <c r="D168" s="12">
        <f t="shared" si="40"/>
        <v>-1</v>
      </c>
      <c r="E168" s="13" t="str">
        <f t="shared" si="34"/>
        <v/>
      </c>
      <c r="F168" s="6"/>
      <c r="G168" t="s">
        <v>42</v>
      </c>
      <c r="H168" s="9">
        <f t="shared" si="35"/>
        <v>-1</v>
      </c>
      <c r="I168" s="10" t="str">
        <f t="shared" si="36"/>
        <v/>
      </c>
      <c r="J168" s="6"/>
      <c r="K168">
        <v>198.44000199999999</v>
      </c>
      <c r="L168" s="9">
        <f t="shared" si="37"/>
        <v>6.0874833089348629E-2</v>
      </c>
      <c r="M168" s="10">
        <f t="shared" si="41"/>
        <v>6.0874833089348629E-2</v>
      </c>
      <c r="N168" s="6"/>
      <c r="O168">
        <v>106.589996</v>
      </c>
      <c r="P168" s="9">
        <f t="shared" si="38"/>
        <v>3.0959941118677541E-3</v>
      </c>
      <c r="Q168" s="10">
        <f t="shared" si="39"/>
        <v>3.0959941118677541E-3</v>
      </c>
      <c r="R168" s="6"/>
      <c r="S168">
        <v>6647.3999020000001</v>
      </c>
      <c r="T168" s="28">
        <f t="shared" si="42"/>
        <v>-3.4494219300844208E-3</v>
      </c>
      <c r="V168" s="6"/>
      <c r="W168">
        <v>76.019997000000004</v>
      </c>
      <c r="X168" s="27">
        <f t="shared" si="43"/>
        <v>6.1957461008581634E-2</v>
      </c>
      <c r="Y168" s="26">
        <f t="shared" si="44"/>
        <v>6.1957461008581634E-2</v>
      </c>
      <c r="Z168" s="6"/>
      <c r="AA168">
        <v>420.17001299999998</v>
      </c>
      <c r="AB168" s="27">
        <f t="shared" si="45"/>
        <v>6.1808318529385446E-2</v>
      </c>
      <c r="AC168" s="26">
        <f t="shared" si="46"/>
        <v>6.1808318529385446E-2</v>
      </c>
      <c r="AD168" s="6"/>
      <c r="AE168">
        <v>1887.040039</v>
      </c>
      <c r="AF168" s="27">
        <f t="shared" si="47"/>
        <v>-5.7656460780586456E-3</v>
      </c>
      <c r="AG168" s="27">
        <f t="shared" si="48"/>
        <v>-5.7656460780586456E-3</v>
      </c>
      <c r="AH168" s="6"/>
      <c r="AI168">
        <v>33.714100000000002</v>
      </c>
      <c r="AJ168" s="27">
        <f t="shared" si="49"/>
        <v>7.6994432596450585E-2</v>
      </c>
      <c r="AK168" s="27">
        <f t="shared" si="50"/>
        <v>7.6994432596450585E-2</v>
      </c>
    </row>
    <row r="169" spans="1:37" ht="14.5" x14ac:dyDescent="0.35">
      <c r="A169" s="1">
        <v>44873</v>
      </c>
      <c r="B169">
        <v>53.492297999999998</v>
      </c>
      <c r="D169" s="12">
        <f t="shared" si="40"/>
        <v>7.48145088102186E-5</v>
      </c>
      <c r="E169" s="13">
        <f t="shared" si="34"/>
        <v>7.48145088102186E-5</v>
      </c>
      <c r="F169" s="6"/>
      <c r="G169">
        <v>1003.349976</v>
      </c>
      <c r="H169" s="9">
        <f t="shared" si="35"/>
        <v>5.8805602642490111E-4</v>
      </c>
      <c r="I169" s="10">
        <f t="shared" si="36"/>
        <v>5.8805602642490111E-4</v>
      </c>
      <c r="J169" s="6"/>
      <c r="K169">
        <v>210.520004</v>
      </c>
      <c r="L169" s="9">
        <f t="shared" si="37"/>
        <v>1.0545320909266163E-2</v>
      </c>
      <c r="M169" s="10">
        <f t="shared" si="41"/>
        <v>1.0545320909266163E-2</v>
      </c>
      <c r="N169" s="6"/>
      <c r="O169">
        <v>106.91999800000001</v>
      </c>
      <c r="P169" s="9">
        <f t="shared" si="38"/>
        <v>3.5541059400318827E-3</v>
      </c>
      <c r="Q169" s="10">
        <f t="shared" si="39"/>
        <v>3.5541059400318827E-3</v>
      </c>
      <c r="R169" s="6"/>
      <c r="S169">
        <v>6624.4702150000003</v>
      </c>
      <c r="T169" s="28">
        <f t="shared" si="42"/>
        <v>-5.8723745050460953E-4</v>
      </c>
      <c r="V169" s="6"/>
      <c r="W169">
        <v>80.730002999999996</v>
      </c>
      <c r="X169" s="27">
        <f t="shared" si="43"/>
        <v>-2.6013376959739842E-3</v>
      </c>
      <c r="Y169" s="26">
        <f t="shared" si="44"/>
        <v>-2.6013376959739842E-3</v>
      </c>
      <c r="Z169" s="6"/>
      <c r="AA169">
        <v>446.14001500000001</v>
      </c>
      <c r="AB169" s="27">
        <f t="shared" si="45"/>
        <v>2.6045623816101805E-2</v>
      </c>
      <c r="AC169" s="26">
        <f t="shared" si="46"/>
        <v>2.6045623816101805E-2</v>
      </c>
      <c r="AD169" s="6"/>
      <c r="AE169">
        <v>1876.160034</v>
      </c>
      <c r="AF169" s="27">
        <f t="shared" si="47"/>
        <v>6.7637844160579608E-3</v>
      </c>
      <c r="AG169" s="27">
        <f t="shared" si="48"/>
        <v>6.7637844160579608E-3</v>
      </c>
      <c r="AH169" s="6"/>
      <c r="AI169">
        <v>36.309897999999997</v>
      </c>
      <c r="AJ169" s="27">
        <f t="shared" si="49"/>
        <v>2.5882777197556512E-2</v>
      </c>
      <c r="AK169" s="27">
        <f t="shared" si="50"/>
        <v>2.5882777197556512E-2</v>
      </c>
    </row>
    <row r="170" spans="1:37" ht="14.5" x14ac:dyDescent="0.35">
      <c r="A170" s="1">
        <v>44874</v>
      </c>
      <c r="B170">
        <v>53.496299999999998</v>
      </c>
      <c r="D170" s="12">
        <f t="shared" si="40"/>
        <v>3.9292437047061467E-5</v>
      </c>
      <c r="E170" s="13">
        <f t="shared" si="34"/>
        <v>3.9292437047061467E-5</v>
      </c>
      <c r="F170" s="6"/>
      <c r="G170">
        <v>1003.940002</v>
      </c>
      <c r="H170" s="9">
        <f t="shared" si="35"/>
        <v>2.0917345616436244E-3</v>
      </c>
      <c r="I170" s="10">
        <f t="shared" si="36"/>
        <v>2.0917345616436244E-3</v>
      </c>
      <c r="J170" s="6"/>
      <c r="K170">
        <v>212.740005</v>
      </c>
      <c r="L170" s="9">
        <f t="shared" si="37"/>
        <v>-9.3071822575166007E-3</v>
      </c>
      <c r="M170" s="10">
        <f t="shared" si="41"/>
        <v>-9.3071822575166007E-3</v>
      </c>
      <c r="N170" s="6"/>
      <c r="O170">
        <v>107.300003</v>
      </c>
      <c r="P170" s="9">
        <f t="shared" si="38"/>
        <v>-1.6775395616718371E-3</v>
      </c>
      <c r="Q170" s="10">
        <f t="shared" si="39"/>
        <v>-1.6775395616718371E-3</v>
      </c>
      <c r="R170" s="6"/>
      <c r="S170">
        <v>6620.580078</v>
      </c>
      <c r="T170" s="28">
        <f t="shared" si="42"/>
        <v>6.8272265371728221E-4</v>
      </c>
      <c r="V170" s="6"/>
      <c r="W170">
        <v>80.519997000000004</v>
      </c>
      <c r="X170" s="27">
        <f t="shared" si="43"/>
        <v>-1.366119027550382E-2</v>
      </c>
      <c r="Y170" s="26">
        <f t="shared" si="44"/>
        <v>-1.366119027550382E-2</v>
      </c>
      <c r="Z170" s="6"/>
      <c r="AA170">
        <v>457.76001000000002</v>
      </c>
      <c r="AB170" s="27">
        <f t="shared" si="45"/>
        <v>-1</v>
      </c>
      <c r="AC170" s="26" t="str">
        <f t="shared" si="46"/>
        <v/>
      </c>
      <c r="AD170" s="6"/>
      <c r="AE170">
        <v>1888.849976</v>
      </c>
      <c r="AF170" s="27">
        <f t="shared" si="47"/>
        <v>-1.8635652617865688E-2</v>
      </c>
      <c r="AG170" s="27">
        <f t="shared" si="48"/>
        <v>-1.8635652617865688E-2</v>
      </c>
      <c r="AH170" s="6"/>
      <c r="AI170">
        <v>37.249699</v>
      </c>
      <c r="AJ170" s="27">
        <f t="shared" si="49"/>
        <v>-1.1938324655992521E-2</v>
      </c>
      <c r="AK170" s="27">
        <f t="shared" si="50"/>
        <v>-1.1938324655992521E-2</v>
      </c>
    </row>
    <row r="171" spans="1:37" ht="14.5" x14ac:dyDescent="0.35">
      <c r="A171" s="1">
        <v>44875</v>
      </c>
      <c r="B171">
        <v>53.498401999999999</v>
      </c>
      <c r="D171" s="12">
        <f t="shared" si="40"/>
        <v>5.7889579580412554E-5</v>
      </c>
      <c r="E171" s="13">
        <f t="shared" si="34"/>
        <v>5.7889579580412554E-5</v>
      </c>
      <c r="F171" s="6"/>
      <c r="G171">
        <v>1006.039978</v>
      </c>
      <c r="H171" s="9">
        <f t="shared" si="35"/>
        <v>2.9323009666719379E-3</v>
      </c>
      <c r="I171" s="10">
        <f t="shared" si="36"/>
        <v>2.9323009666719379E-3</v>
      </c>
      <c r="J171" s="6"/>
      <c r="K171">
        <v>210.759995</v>
      </c>
      <c r="L171" s="9">
        <f t="shared" si="37"/>
        <v>1.067565028173397E-2</v>
      </c>
      <c r="M171" s="10">
        <f t="shared" si="41"/>
        <v>1.067565028173397E-2</v>
      </c>
      <c r="N171" s="6"/>
      <c r="O171">
        <v>107.120003</v>
      </c>
      <c r="P171" s="9">
        <f t="shared" si="38"/>
        <v>4.1355488012822468E-2</v>
      </c>
      <c r="Q171" s="10">
        <f t="shared" si="39"/>
        <v>4.1355488012822468E-2</v>
      </c>
      <c r="R171" s="6"/>
      <c r="S171">
        <v>6625.1000979999999</v>
      </c>
      <c r="T171" s="28">
        <f t="shared" si="42"/>
        <v>2.8075193921395241E-3</v>
      </c>
      <c r="V171" s="6"/>
      <c r="W171">
        <v>79.419998000000007</v>
      </c>
      <c r="X171" s="27">
        <f t="shared" si="43"/>
        <v>2.9589512203211044E-2</v>
      </c>
      <c r="Y171" s="26">
        <f t="shared" si="44"/>
        <v>2.9589512203211044E-2</v>
      </c>
      <c r="Z171" s="6"/>
      <c r="AA171" t="s">
        <v>42</v>
      </c>
      <c r="AB171" s="27">
        <f t="shared" si="45"/>
        <v>-1</v>
      </c>
      <c r="AC171" s="26" t="str">
        <f t="shared" si="46"/>
        <v/>
      </c>
      <c r="AD171" s="6"/>
      <c r="AE171">
        <v>1853.650024</v>
      </c>
      <c r="AF171" s="27">
        <f t="shared" si="47"/>
        <v>7.0978849996767221E-2</v>
      </c>
      <c r="AG171" s="27">
        <f t="shared" si="48"/>
        <v>7.0978849996767221E-2</v>
      </c>
      <c r="AH171" s="6"/>
      <c r="AI171">
        <v>36.805</v>
      </c>
      <c r="AJ171" s="27">
        <f t="shared" si="49"/>
        <v>1.6878168727075104E-2</v>
      </c>
      <c r="AK171" s="27">
        <f t="shared" si="50"/>
        <v>1.6878168727075104E-2</v>
      </c>
    </row>
    <row r="172" spans="1:37" ht="14.5" x14ac:dyDescent="0.35">
      <c r="A172" s="1">
        <v>44876</v>
      </c>
      <c r="B172">
        <v>53.501499000000003</v>
      </c>
      <c r="D172" s="12">
        <f t="shared" si="40"/>
        <v>-1</v>
      </c>
      <c r="E172" s="13" t="str">
        <f t="shared" si="34"/>
        <v/>
      </c>
      <c r="F172" s="6"/>
      <c r="G172">
        <v>1008.98999</v>
      </c>
      <c r="H172" s="9">
        <f t="shared" si="35"/>
        <v>-1</v>
      </c>
      <c r="I172" s="10" t="str">
        <f t="shared" si="36"/>
        <v/>
      </c>
      <c r="J172" s="6"/>
      <c r="K172">
        <v>213.009995</v>
      </c>
      <c r="L172" s="9">
        <f t="shared" si="37"/>
        <v>-7.9338436677584053E-3</v>
      </c>
      <c r="M172" s="10">
        <f t="shared" si="41"/>
        <v>-7.9338436677584053E-3</v>
      </c>
      <c r="N172" s="6"/>
      <c r="O172">
        <v>111.550003</v>
      </c>
      <c r="P172" s="9">
        <f t="shared" si="38"/>
        <v>-1</v>
      </c>
      <c r="Q172" s="10" t="str">
        <f t="shared" si="39"/>
        <v/>
      </c>
      <c r="R172" s="6"/>
      <c r="S172">
        <v>6643.7001950000003</v>
      </c>
      <c r="T172" s="28">
        <f t="shared" si="42"/>
        <v>5.1582730999498285E-3</v>
      </c>
      <c r="V172" s="6"/>
      <c r="W172">
        <v>81.769997000000004</v>
      </c>
      <c r="X172" s="27">
        <f t="shared" si="43"/>
        <v>-9.172068332104745E-3</v>
      </c>
      <c r="Y172" s="26">
        <f t="shared" si="44"/>
        <v>-9.172068332104745E-3</v>
      </c>
      <c r="Z172" s="6"/>
      <c r="AA172">
        <v>477.35998499999999</v>
      </c>
      <c r="AB172" s="27">
        <f t="shared" si="45"/>
        <v>-2.4551638948120021E-2</v>
      </c>
      <c r="AC172" s="26">
        <f t="shared" si="46"/>
        <v>-2.4551638948120021E-2</v>
      </c>
      <c r="AD172" s="6"/>
      <c r="AE172">
        <v>1985.219971</v>
      </c>
      <c r="AF172" s="27">
        <f t="shared" si="47"/>
        <v>7.2032566712477144E-3</v>
      </c>
      <c r="AG172" s="27">
        <f t="shared" si="48"/>
        <v>7.2032566712477144E-3</v>
      </c>
      <c r="AH172" s="6"/>
      <c r="AI172">
        <v>37.426200999999999</v>
      </c>
      <c r="AJ172" s="27">
        <f t="shared" si="49"/>
        <v>-2.6059283975950358E-2</v>
      </c>
      <c r="AK172" s="27">
        <f t="shared" si="50"/>
        <v>-2.6059283975950358E-2</v>
      </c>
    </row>
    <row r="173" spans="1:37" ht="14.5" x14ac:dyDescent="0.35">
      <c r="A173" s="1">
        <v>44879</v>
      </c>
      <c r="B173" t="s">
        <v>42</v>
      </c>
      <c r="D173" s="12">
        <f t="shared" si="40"/>
        <v>-1</v>
      </c>
      <c r="E173" s="13" t="str">
        <f t="shared" si="34"/>
        <v/>
      </c>
      <c r="F173" s="6"/>
      <c r="G173" t="s">
        <v>42</v>
      </c>
      <c r="H173" s="9">
        <f t="shared" si="35"/>
        <v>-1</v>
      </c>
      <c r="I173" s="10" t="str">
        <f t="shared" si="36"/>
        <v/>
      </c>
      <c r="J173" s="6"/>
      <c r="K173">
        <v>211.320007</v>
      </c>
      <c r="L173" s="9">
        <f t="shared" si="37"/>
        <v>-3.8331060626928732E-3</v>
      </c>
      <c r="M173" s="10">
        <f t="shared" si="41"/>
        <v>-3.8331060626928732E-3</v>
      </c>
      <c r="N173" s="6"/>
      <c r="O173" t="s">
        <v>42</v>
      </c>
      <c r="P173" s="9">
        <f t="shared" si="38"/>
        <v>-1</v>
      </c>
      <c r="Q173" s="10" t="str">
        <f t="shared" si="39"/>
        <v/>
      </c>
      <c r="R173" s="6"/>
      <c r="S173">
        <v>6677.9702150000003</v>
      </c>
      <c r="T173" s="28">
        <f t="shared" si="42"/>
        <v>8.1907014016224604E-4</v>
      </c>
      <c r="V173" s="6"/>
      <c r="W173">
        <v>81.019997000000004</v>
      </c>
      <c r="X173" s="27">
        <f t="shared" si="43"/>
        <v>5.4307827239242264E-3</v>
      </c>
      <c r="Y173" s="26">
        <f t="shared" si="44"/>
        <v>5.4307827239242264E-3</v>
      </c>
      <c r="Z173" s="6"/>
      <c r="AA173">
        <v>465.64001500000001</v>
      </c>
      <c r="AB173" s="27">
        <f t="shared" si="45"/>
        <v>-3.0044713833281732E-2</v>
      </c>
      <c r="AC173" s="26">
        <f t="shared" si="46"/>
        <v>-3.0044713833281732E-2</v>
      </c>
      <c r="AD173" s="6"/>
      <c r="AE173">
        <v>1999.5200199999999</v>
      </c>
      <c r="AF173" s="27">
        <f t="shared" si="47"/>
        <v>-8.2720051985275267E-3</v>
      </c>
      <c r="AG173" s="27">
        <f t="shared" si="48"/>
        <v>-8.2720051985275267E-3</v>
      </c>
      <c r="AH173" s="6"/>
      <c r="AI173">
        <v>36.450901000000002</v>
      </c>
      <c r="AJ173" s="27">
        <f t="shared" si="49"/>
        <v>4.6906933795675369E-4</v>
      </c>
      <c r="AK173" s="27">
        <f t="shared" si="50"/>
        <v>4.6906933795675369E-4</v>
      </c>
    </row>
    <row r="174" spans="1:37" ht="14.5" x14ac:dyDescent="0.35">
      <c r="A174" s="1">
        <v>44880</v>
      </c>
      <c r="B174">
        <v>53.509300000000003</v>
      </c>
      <c r="D174" s="12">
        <f t="shared" si="40"/>
        <v>4.8627061090240316E-5</v>
      </c>
      <c r="E174" s="13">
        <f t="shared" si="34"/>
        <v>4.8627061090240316E-5</v>
      </c>
      <c r="F174" s="6"/>
      <c r="G174">
        <v>1014.289978</v>
      </c>
      <c r="H174" s="9">
        <f t="shared" si="35"/>
        <v>5.4915331126342178E-3</v>
      </c>
      <c r="I174" s="10">
        <f t="shared" si="36"/>
        <v>5.4915331126342178E-3</v>
      </c>
      <c r="J174" s="6"/>
      <c r="K174">
        <v>210.509995</v>
      </c>
      <c r="L174" s="9">
        <f t="shared" si="37"/>
        <v>5.4629662596304886E-3</v>
      </c>
      <c r="M174" s="10">
        <f t="shared" si="41"/>
        <v>5.4629662596304886E-3</v>
      </c>
      <c r="N174" s="6"/>
      <c r="O174">
        <v>110.910004</v>
      </c>
      <c r="P174" s="9">
        <f t="shared" si="38"/>
        <v>1.0819132239865662E-3</v>
      </c>
      <c r="Q174" s="10">
        <f t="shared" si="39"/>
        <v>1.0819132239865662E-3</v>
      </c>
      <c r="R174" s="6"/>
      <c r="S174">
        <v>6683.4399409999996</v>
      </c>
      <c r="T174" s="28">
        <f t="shared" si="42"/>
        <v>4.0278542543425904E-3</v>
      </c>
      <c r="V174" s="6"/>
      <c r="W174">
        <v>81.459998999999996</v>
      </c>
      <c r="X174" s="27">
        <f t="shared" si="43"/>
        <v>-3.3144734018470757E-3</v>
      </c>
      <c r="Y174" s="26">
        <f t="shared" si="44"/>
        <v>-3.3144734018470757E-3</v>
      </c>
      <c r="Z174" s="6"/>
      <c r="AA174">
        <v>451.64999399999999</v>
      </c>
      <c r="AB174" s="27">
        <f t="shared" si="45"/>
        <v>-1</v>
      </c>
      <c r="AC174" s="26" t="str">
        <f t="shared" si="46"/>
        <v/>
      </c>
      <c r="AD174" s="6"/>
      <c r="AE174">
        <v>1982.9799800000001</v>
      </c>
      <c r="AF174" s="27">
        <f t="shared" si="47"/>
        <v>2.0090957247082243E-2</v>
      </c>
      <c r="AG174" s="27">
        <f t="shared" si="48"/>
        <v>2.0090957247082243E-2</v>
      </c>
      <c r="AH174" s="6"/>
      <c r="AI174">
        <v>36.467998999999999</v>
      </c>
      <c r="AJ174" s="27">
        <f t="shared" si="49"/>
        <v>3.5099814497637277E-3</v>
      </c>
      <c r="AK174" s="27">
        <f t="shared" si="50"/>
        <v>3.5099814497637277E-3</v>
      </c>
    </row>
    <row r="175" spans="1:37" ht="14.5" x14ac:dyDescent="0.35">
      <c r="A175" s="1">
        <v>44881</v>
      </c>
      <c r="B175">
        <v>53.511901999999999</v>
      </c>
      <c r="D175" s="12">
        <f t="shared" si="40"/>
        <v>5.2324808039911941E-5</v>
      </c>
      <c r="E175" s="13">
        <f t="shared" si="34"/>
        <v>5.2324808039911941E-5</v>
      </c>
      <c r="F175" s="6"/>
      <c r="G175">
        <v>1019.8599850000001</v>
      </c>
      <c r="H175" s="9">
        <f t="shared" si="35"/>
        <v>3.7358049693458168E-3</v>
      </c>
      <c r="I175" s="10">
        <f t="shared" si="36"/>
        <v>3.7358049693458168E-3</v>
      </c>
      <c r="J175" s="6"/>
      <c r="K175">
        <v>211.66000399999999</v>
      </c>
      <c r="L175" s="9">
        <f t="shared" si="37"/>
        <v>-7.4175941147576144E-3</v>
      </c>
      <c r="M175" s="10">
        <f t="shared" si="41"/>
        <v>-7.4175941147576144E-3</v>
      </c>
      <c r="N175" s="6"/>
      <c r="O175">
        <v>111.029999</v>
      </c>
      <c r="P175" s="9">
        <f t="shared" si="38"/>
        <v>-2.323698120541285E-2</v>
      </c>
      <c r="Q175" s="10">
        <f t="shared" si="39"/>
        <v>-2.323698120541285E-2</v>
      </c>
      <c r="R175" s="6"/>
      <c r="S175">
        <v>6710.3598629999997</v>
      </c>
      <c r="T175" s="28">
        <f t="shared" si="42"/>
        <v>-4.8060015645095371E-3</v>
      </c>
      <c r="V175" s="6"/>
      <c r="W175">
        <v>81.190002000000007</v>
      </c>
      <c r="X175" s="27">
        <f t="shared" si="43"/>
        <v>-6.7742700634494842E-3</v>
      </c>
      <c r="Y175" s="26">
        <f t="shared" si="44"/>
        <v>-6.7742700634494842E-3</v>
      </c>
      <c r="Z175" s="6"/>
      <c r="AA175" t="s">
        <v>42</v>
      </c>
      <c r="AB175" s="27">
        <f t="shared" si="45"/>
        <v>-1</v>
      </c>
      <c r="AC175" s="26" t="str">
        <f t="shared" si="46"/>
        <v/>
      </c>
      <c r="AD175" s="6"/>
      <c r="AE175">
        <v>2022.8199460000001</v>
      </c>
      <c r="AF175" s="27">
        <f t="shared" si="47"/>
        <v>-2.3590814444144355E-2</v>
      </c>
      <c r="AG175" s="27">
        <f t="shared" si="48"/>
        <v>-2.3590814444144355E-2</v>
      </c>
      <c r="AH175" s="6"/>
      <c r="AI175">
        <v>36.596001000000001</v>
      </c>
      <c r="AJ175" s="27">
        <f t="shared" si="49"/>
        <v>-1.0102251336150191E-2</v>
      </c>
      <c r="AK175" s="27">
        <f t="shared" si="50"/>
        <v>-1.0102251336150191E-2</v>
      </c>
    </row>
    <row r="176" spans="1:37" ht="14.5" x14ac:dyDescent="0.35">
      <c r="A176" s="1">
        <v>44882</v>
      </c>
      <c r="B176">
        <v>53.514702</v>
      </c>
      <c r="D176" s="12">
        <f t="shared" si="40"/>
        <v>4.6678761286996905E-5</v>
      </c>
      <c r="E176" s="13">
        <f t="shared" si="34"/>
        <v>4.6678761286996905E-5</v>
      </c>
      <c r="F176" s="6"/>
      <c r="G176">
        <v>1023.669983</v>
      </c>
      <c r="H176" s="9">
        <f t="shared" si="35"/>
        <v>4.4938506319373129E-4</v>
      </c>
      <c r="I176" s="10">
        <f t="shared" si="36"/>
        <v>4.4938506319373129E-4</v>
      </c>
      <c r="J176" s="6"/>
      <c r="K176">
        <v>210.08999600000001</v>
      </c>
      <c r="L176" s="9">
        <f t="shared" si="37"/>
        <v>1.2090099711363685E-2</v>
      </c>
      <c r="M176" s="10">
        <f t="shared" si="41"/>
        <v>1.2090099711363685E-2</v>
      </c>
      <c r="N176" s="6"/>
      <c r="O176">
        <v>108.449997</v>
      </c>
      <c r="P176" s="9">
        <f t="shared" si="38"/>
        <v>-5.4402583339859317E-3</v>
      </c>
      <c r="Q176" s="10">
        <f t="shared" si="39"/>
        <v>-5.4402583339859317E-3</v>
      </c>
      <c r="R176" s="6"/>
      <c r="S176">
        <v>6678.1098629999997</v>
      </c>
      <c r="T176" s="28">
        <f t="shared" si="42"/>
        <v>1.3252399528545895E-3</v>
      </c>
      <c r="V176" s="6"/>
      <c r="W176">
        <v>80.639999000000003</v>
      </c>
      <c r="X176" s="27">
        <f t="shared" si="43"/>
        <v>2.4801215585332063E-3</v>
      </c>
      <c r="Y176" s="26">
        <f t="shared" si="44"/>
        <v>2.4801215585332063E-3</v>
      </c>
      <c r="Z176" s="6"/>
      <c r="AA176">
        <v>449.88000499999998</v>
      </c>
      <c r="AB176" s="27">
        <f t="shared" si="45"/>
        <v>-1.2536709649943223E-2</v>
      </c>
      <c r="AC176" s="26">
        <f t="shared" si="46"/>
        <v>-1.2536709649943223E-2</v>
      </c>
      <c r="AD176" s="6"/>
      <c r="AE176">
        <v>1975.099976</v>
      </c>
      <c r="AF176" s="27">
        <f t="shared" si="47"/>
        <v>3.5239142750108266E-3</v>
      </c>
      <c r="AG176" s="27">
        <f t="shared" si="48"/>
        <v>3.5239142750108266E-3</v>
      </c>
      <c r="AH176" s="6"/>
      <c r="AI176">
        <v>36.226298999999997</v>
      </c>
      <c r="AJ176" s="27">
        <f t="shared" si="49"/>
        <v>1.7332684191669685E-2</v>
      </c>
      <c r="AK176" s="27">
        <f t="shared" si="50"/>
        <v>1.7332684191669685E-2</v>
      </c>
    </row>
    <row r="177" spans="1:37" ht="14.5" x14ac:dyDescent="0.35">
      <c r="A177" s="1">
        <v>44883</v>
      </c>
      <c r="B177">
        <v>53.517200000000003</v>
      </c>
      <c r="D177" s="12">
        <f t="shared" si="40"/>
        <v>-1</v>
      </c>
      <c r="E177" s="13" t="str">
        <f t="shared" si="34"/>
        <v/>
      </c>
      <c r="F177" s="6"/>
      <c r="G177">
        <v>1024.130005</v>
      </c>
      <c r="H177" s="9">
        <f t="shared" si="35"/>
        <v>-1</v>
      </c>
      <c r="I177" s="10" t="str">
        <f t="shared" si="36"/>
        <v/>
      </c>
      <c r="J177" s="6"/>
      <c r="K177">
        <v>212.63000500000001</v>
      </c>
      <c r="L177" s="9">
        <f t="shared" si="37"/>
        <v>9.2178476880532562E-3</v>
      </c>
      <c r="M177" s="10">
        <f t="shared" si="41"/>
        <v>9.2178476880532562E-3</v>
      </c>
      <c r="N177" s="6"/>
      <c r="O177">
        <v>107.860001</v>
      </c>
      <c r="P177" s="9">
        <f t="shared" si="38"/>
        <v>1.3999647561657265E-2</v>
      </c>
      <c r="Q177" s="10">
        <f t="shared" si="39"/>
        <v>1.3999647561657265E-2</v>
      </c>
      <c r="R177" s="6"/>
      <c r="S177">
        <v>6686.9599609999996</v>
      </c>
      <c r="T177" s="28">
        <f t="shared" si="42"/>
        <v>2.9475219105473687E-3</v>
      </c>
      <c r="V177" s="6"/>
      <c r="W177">
        <v>80.839995999999999</v>
      </c>
      <c r="X177" s="27">
        <f t="shared" si="43"/>
        <v>1.2617578556040473E-2</v>
      </c>
      <c r="Y177" s="26">
        <f t="shared" si="44"/>
        <v>1.2617578556040473E-2</v>
      </c>
      <c r="Z177" s="6"/>
      <c r="AA177">
        <v>444.23998999999998</v>
      </c>
      <c r="AB177" s="27">
        <f t="shared" si="45"/>
        <v>3.525122535681674E-2</v>
      </c>
      <c r="AC177" s="26">
        <f t="shared" si="46"/>
        <v>3.525122535681674E-2</v>
      </c>
      <c r="AD177" s="6"/>
      <c r="AE177">
        <v>1982.0600589999999</v>
      </c>
      <c r="AF177" s="27">
        <f t="shared" si="47"/>
        <v>-5.0502001463260908E-5</v>
      </c>
      <c r="AG177" s="27">
        <f t="shared" si="48"/>
        <v>-5.0502001463260908E-5</v>
      </c>
      <c r="AH177" s="6"/>
      <c r="AI177">
        <v>36.854197999999997</v>
      </c>
      <c r="AJ177" s="27">
        <f t="shared" si="49"/>
        <v>1.0367964051205259E-2</v>
      </c>
      <c r="AK177" s="27">
        <f t="shared" si="50"/>
        <v>1.0367964051205259E-2</v>
      </c>
    </row>
    <row r="178" spans="1:37" ht="14.5" x14ac:dyDescent="0.35">
      <c r="A178" s="1">
        <v>44886</v>
      </c>
      <c r="B178" t="s">
        <v>42</v>
      </c>
      <c r="D178" s="12">
        <f t="shared" si="40"/>
        <v>-1</v>
      </c>
      <c r="E178" s="13" t="str">
        <f t="shared" si="34"/>
        <v/>
      </c>
      <c r="F178" s="6"/>
      <c r="G178" t="s">
        <v>42</v>
      </c>
      <c r="H178" s="9">
        <f t="shared" si="35"/>
        <v>-1</v>
      </c>
      <c r="I178" s="10" t="str">
        <f t="shared" si="36"/>
        <v/>
      </c>
      <c r="J178" s="6"/>
      <c r="K178">
        <v>214.58999600000001</v>
      </c>
      <c r="L178" s="9">
        <f t="shared" si="37"/>
        <v>-1</v>
      </c>
      <c r="M178" s="10" t="str">
        <f t="shared" si="41"/>
        <v/>
      </c>
      <c r="N178" s="6"/>
      <c r="O178">
        <v>109.370003</v>
      </c>
      <c r="P178" s="9">
        <f t="shared" si="38"/>
        <v>-8.2293131143091692E-4</v>
      </c>
      <c r="Q178" s="10">
        <f t="shared" si="39"/>
        <v>-8.2293131143091692E-4</v>
      </c>
      <c r="R178" s="6"/>
      <c r="S178">
        <v>6706.669922</v>
      </c>
      <c r="T178" s="28">
        <f t="shared" si="42"/>
        <v>1.1619801914563322E-2</v>
      </c>
      <c r="V178" s="6"/>
      <c r="W178">
        <v>81.860000999999997</v>
      </c>
      <c r="X178" s="27">
        <f t="shared" si="43"/>
        <v>-4.6420473412894349E-3</v>
      </c>
      <c r="Y178" s="26">
        <f t="shared" si="44"/>
        <v>-4.6420473412894349E-3</v>
      </c>
      <c r="Z178" s="6"/>
      <c r="AA178">
        <v>459.89999399999999</v>
      </c>
      <c r="AB178" s="27">
        <f t="shared" si="45"/>
        <v>1.2828789034513123E-3</v>
      </c>
      <c r="AC178" s="26">
        <f t="shared" si="46"/>
        <v>1.2828789034513123E-3</v>
      </c>
      <c r="AD178" s="6"/>
      <c r="AE178">
        <v>1981.959961</v>
      </c>
      <c r="AF178" s="27">
        <f t="shared" si="47"/>
        <v>-8.0683769171296927E-5</v>
      </c>
      <c r="AG178" s="27">
        <f t="shared" si="48"/>
        <v>-8.0683769171296927E-5</v>
      </c>
      <c r="AH178" s="6"/>
      <c r="AI178">
        <v>37.236300999999997</v>
      </c>
      <c r="AJ178" s="27">
        <f t="shared" si="49"/>
        <v>-6.0908842690899747E-3</v>
      </c>
      <c r="AK178" s="27">
        <f t="shared" si="50"/>
        <v>-6.0908842690899747E-3</v>
      </c>
    </row>
    <row r="179" spans="1:37" ht="14.5" x14ac:dyDescent="0.35">
      <c r="A179" s="1">
        <v>44887</v>
      </c>
      <c r="B179">
        <v>53.524101000000002</v>
      </c>
      <c r="D179" s="12">
        <f t="shared" si="40"/>
        <v>3.9197295438864119E-5</v>
      </c>
      <c r="E179" s="13">
        <f t="shared" si="34"/>
        <v>3.9197295438864119E-5</v>
      </c>
      <c r="F179" s="6"/>
      <c r="G179" t="s">
        <v>42</v>
      </c>
      <c r="H179" s="9">
        <f t="shared" si="35"/>
        <v>-1</v>
      </c>
      <c r="I179" s="10" t="str">
        <f t="shared" si="36"/>
        <v/>
      </c>
      <c r="J179" s="6"/>
      <c r="K179" t="s">
        <v>42</v>
      </c>
      <c r="L179" s="9">
        <f t="shared" si="37"/>
        <v>-1</v>
      </c>
      <c r="M179" s="10" t="str">
        <f t="shared" si="41"/>
        <v/>
      </c>
      <c r="N179" s="6"/>
      <c r="O179">
        <v>109.279999</v>
      </c>
      <c r="P179" s="9">
        <f t="shared" si="38"/>
        <v>-7.4121340356162278E-3</v>
      </c>
      <c r="Q179" s="10">
        <f t="shared" si="39"/>
        <v>-7.4121340356162278E-3</v>
      </c>
      <c r="R179" s="6"/>
      <c r="S179">
        <v>6784.6000979999999</v>
      </c>
      <c r="T179" s="28">
        <f t="shared" si="42"/>
        <v>-8.2156994067242983E-3</v>
      </c>
      <c r="V179" s="6"/>
      <c r="W179">
        <v>81.480002999999996</v>
      </c>
      <c r="X179" s="27">
        <f t="shared" si="43"/>
        <v>-2.2950440981206143E-2</v>
      </c>
      <c r="Y179" s="26">
        <f t="shared" si="44"/>
        <v>-2.2950440981206143E-2</v>
      </c>
      <c r="Z179" s="6"/>
      <c r="AA179">
        <v>460.48998999999998</v>
      </c>
      <c r="AB179" s="27">
        <f t="shared" si="45"/>
        <v>-3.1705162581275705E-3</v>
      </c>
      <c r="AC179" s="26">
        <f t="shared" si="46"/>
        <v>-3.1705162581275705E-3</v>
      </c>
      <c r="AD179" s="6"/>
      <c r="AE179">
        <v>1981.8000489999999</v>
      </c>
      <c r="AF179" s="27">
        <f t="shared" si="47"/>
        <v>8.3106118643556399E-3</v>
      </c>
      <c r="AG179" s="27">
        <f t="shared" si="48"/>
        <v>8.3106118643556399E-3</v>
      </c>
      <c r="AH179" s="6"/>
      <c r="AI179">
        <v>37.009498999999998</v>
      </c>
      <c r="AJ179" s="27">
        <f t="shared" si="49"/>
        <v>-1.8911307067409844E-2</v>
      </c>
      <c r="AK179" s="27">
        <f t="shared" si="50"/>
        <v>-1.8911307067409844E-2</v>
      </c>
    </row>
    <row r="180" spans="1:37" ht="14.5" x14ac:dyDescent="0.35">
      <c r="A180" s="1">
        <v>44888</v>
      </c>
      <c r="B180">
        <v>53.526198999999998</v>
      </c>
      <c r="D180" s="12">
        <f t="shared" si="40"/>
        <v>7.661668634454275E-5</v>
      </c>
      <c r="E180" s="13">
        <f t="shared" si="34"/>
        <v>7.661668634454275E-5</v>
      </c>
      <c r="F180" s="6"/>
      <c r="G180">
        <v>1023.400024</v>
      </c>
      <c r="H180" s="9">
        <f t="shared" si="35"/>
        <v>4.8856750857375394E-4</v>
      </c>
      <c r="I180" s="10">
        <f t="shared" si="36"/>
        <v>4.8856750857375394E-4</v>
      </c>
      <c r="J180" s="6"/>
      <c r="K180">
        <v>214.58999600000001</v>
      </c>
      <c r="L180" s="9">
        <f t="shared" si="37"/>
        <v>-1.2349103170680989E-2</v>
      </c>
      <c r="M180" s="10">
        <f t="shared" si="41"/>
        <v>-1.2349103170680989E-2</v>
      </c>
      <c r="N180" s="6"/>
      <c r="O180">
        <v>108.470001</v>
      </c>
      <c r="P180" s="9">
        <f t="shared" si="38"/>
        <v>-4.9783441967515933E-3</v>
      </c>
      <c r="Q180" s="10">
        <f t="shared" si="39"/>
        <v>-4.9783441967515933E-3</v>
      </c>
      <c r="R180" s="6"/>
      <c r="S180">
        <v>6728.8598629999997</v>
      </c>
      <c r="T180" s="28">
        <f t="shared" si="42"/>
        <v>-2.2277473903770464E-5</v>
      </c>
      <c r="V180" s="6"/>
      <c r="W180">
        <v>79.610000999999997</v>
      </c>
      <c r="X180" s="27">
        <f t="shared" si="43"/>
        <v>-7.7880039217685347E-3</v>
      </c>
      <c r="Y180" s="26">
        <f t="shared" si="44"/>
        <v>-7.7880039217685347E-3</v>
      </c>
      <c r="Z180" s="6"/>
      <c r="AA180">
        <v>459.02999899999998</v>
      </c>
      <c r="AB180" s="27">
        <f t="shared" si="45"/>
        <v>-1</v>
      </c>
      <c r="AC180" s="26" t="str">
        <f t="shared" si="46"/>
        <v/>
      </c>
      <c r="AD180" s="6"/>
      <c r="AE180">
        <v>1998.2700199999999</v>
      </c>
      <c r="AF180" s="27">
        <f t="shared" si="47"/>
        <v>2.8925164978454779E-3</v>
      </c>
      <c r="AG180" s="27">
        <f t="shared" si="48"/>
        <v>2.8925164978454779E-3</v>
      </c>
      <c r="AH180" s="6"/>
      <c r="AI180">
        <v>36.309601000000001</v>
      </c>
      <c r="AJ180" s="27">
        <f t="shared" si="49"/>
        <v>-5.6321742560596563E-3</v>
      </c>
      <c r="AK180" s="27">
        <f t="shared" si="50"/>
        <v>-5.6321742560596563E-3</v>
      </c>
    </row>
    <row r="181" spans="1:37" ht="14.5" x14ac:dyDescent="0.35">
      <c r="A181" s="1">
        <v>44889</v>
      </c>
      <c r="B181">
        <v>53.530299999999997</v>
      </c>
      <c r="D181" s="12">
        <f t="shared" si="40"/>
        <v>3.1776395798345449E-5</v>
      </c>
      <c r="E181" s="13">
        <f t="shared" si="34"/>
        <v>3.1776395798345449E-5</v>
      </c>
      <c r="F181" s="6"/>
      <c r="G181">
        <v>1023.900024</v>
      </c>
      <c r="H181" s="9">
        <f t="shared" si="35"/>
        <v>2.7834514436928751E-3</v>
      </c>
      <c r="I181" s="10">
        <f t="shared" si="36"/>
        <v>2.7834514436928751E-3</v>
      </c>
      <c r="J181" s="6"/>
      <c r="K181">
        <v>211.94000199999999</v>
      </c>
      <c r="L181" s="9">
        <f t="shared" si="37"/>
        <v>-7.4549447253472309E-3</v>
      </c>
      <c r="M181" s="10">
        <f t="shared" si="41"/>
        <v>-7.4549447253472309E-3</v>
      </c>
      <c r="N181" s="6"/>
      <c r="O181">
        <v>107.93</v>
      </c>
      <c r="P181" s="9">
        <f t="shared" si="38"/>
        <v>2.408967849532101E-2</v>
      </c>
      <c r="Q181" s="10">
        <f t="shared" si="39"/>
        <v>2.408967849532101E-2</v>
      </c>
      <c r="R181" s="6"/>
      <c r="S181">
        <v>6728.7099609999996</v>
      </c>
      <c r="T181" s="28">
        <f t="shared" si="42"/>
        <v>-7.6121169283372677E-3</v>
      </c>
      <c r="V181" s="6"/>
      <c r="W181">
        <v>78.989998</v>
      </c>
      <c r="X181" s="27">
        <f t="shared" si="43"/>
        <v>4.2916813341354977E-2</v>
      </c>
      <c r="Y181" s="26">
        <f t="shared" si="44"/>
        <v>4.2916813341354977E-2</v>
      </c>
      <c r="Z181" s="6"/>
      <c r="AA181" t="s">
        <v>42</v>
      </c>
      <c r="AB181" s="27">
        <f t="shared" si="45"/>
        <v>-1</v>
      </c>
      <c r="AC181" s="26" t="str">
        <f t="shared" si="46"/>
        <v/>
      </c>
      <c r="AD181" s="6"/>
      <c r="AE181">
        <v>2004.0500489999999</v>
      </c>
      <c r="AF181" s="27">
        <f t="shared" si="47"/>
        <v>-2.4999425550773584E-3</v>
      </c>
      <c r="AG181" s="27">
        <f t="shared" si="48"/>
        <v>-2.4999425550773584E-3</v>
      </c>
      <c r="AH181" s="6"/>
      <c r="AI181">
        <v>36.105099000000003</v>
      </c>
      <c r="AJ181" s="27">
        <f t="shared" si="49"/>
        <v>4.1797475752663037E-2</v>
      </c>
      <c r="AK181" s="27">
        <f t="shared" si="50"/>
        <v>4.1797475752663037E-2</v>
      </c>
    </row>
    <row r="182" spans="1:37" ht="14.5" x14ac:dyDescent="0.35">
      <c r="A182" s="1">
        <v>44890</v>
      </c>
      <c r="B182">
        <v>53.532001000000001</v>
      </c>
      <c r="D182" s="12">
        <f t="shared" si="40"/>
        <v>-1</v>
      </c>
      <c r="E182" s="13" t="str">
        <f t="shared" si="34"/>
        <v/>
      </c>
      <c r="F182" s="6"/>
      <c r="G182">
        <v>1026.75</v>
      </c>
      <c r="H182" s="9">
        <f t="shared" si="35"/>
        <v>3.759420501582714E-3</v>
      </c>
      <c r="I182" s="10">
        <f t="shared" si="36"/>
        <v>3.759420501582714E-3</v>
      </c>
      <c r="J182" s="6"/>
      <c r="K182">
        <v>210.36000100000001</v>
      </c>
      <c r="L182" s="9">
        <f t="shared" si="37"/>
        <v>3.2610762347353217E-2</v>
      </c>
      <c r="M182" s="10">
        <f t="shared" si="41"/>
        <v>3.2610762347353217E-2</v>
      </c>
      <c r="N182" s="6"/>
      <c r="O182">
        <v>110.529999</v>
      </c>
      <c r="P182" s="9">
        <f t="shared" si="38"/>
        <v>-7.6902108720728101E-3</v>
      </c>
      <c r="Q182" s="10">
        <f t="shared" si="39"/>
        <v>-7.6902108720728101E-3</v>
      </c>
      <c r="R182" s="6"/>
      <c r="S182">
        <v>6677.4902339999999</v>
      </c>
      <c r="T182" s="28">
        <f t="shared" si="42"/>
        <v>1.4750467098923819E-3</v>
      </c>
      <c r="V182" s="6"/>
      <c r="W182">
        <v>82.379997000000003</v>
      </c>
      <c r="X182" s="27">
        <f t="shared" si="43"/>
        <v>-1.1167735293799618E-2</v>
      </c>
      <c r="Y182" s="26">
        <f t="shared" si="44"/>
        <v>-1.1167735293799618E-2</v>
      </c>
      <c r="Z182" s="6"/>
      <c r="AA182">
        <v>450.17001299999998</v>
      </c>
      <c r="AB182" s="27">
        <f t="shared" si="45"/>
        <v>5.9688551489545827E-2</v>
      </c>
      <c r="AC182" s="26">
        <f t="shared" si="46"/>
        <v>5.9688551489545827E-2</v>
      </c>
      <c r="AD182" s="6"/>
      <c r="AE182">
        <v>1999.040039</v>
      </c>
      <c r="AF182" s="27">
        <f t="shared" si="47"/>
        <v>-2.4961931240237828E-3</v>
      </c>
      <c r="AG182" s="27">
        <f t="shared" si="48"/>
        <v>-2.4961931240237828E-3</v>
      </c>
      <c r="AH182" s="6"/>
      <c r="AI182">
        <v>37.614201000000001</v>
      </c>
      <c r="AJ182" s="27">
        <f t="shared" si="49"/>
        <v>2.7196643097642179E-3</v>
      </c>
      <c r="AK182" s="27">
        <f t="shared" si="50"/>
        <v>2.7196643097642179E-3</v>
      </c>
    </row>
    <row r="183" spans="1:37" ht="14.5" x14ac:dyDescent="0.35">
      <c r="A183" s="1">
        <v>44893</v>
      </c>
      <c r="B183" t="s">
        <v>42</v>
      </c>
      <c r="D183" s="12">
        <f t="shared" si="40"/>
        <v>-1</v>
      </c>
      <c r="E183" s="13" t="str">
        <f t="shared" si="34"/>
        <v/>
      </c>
      <c r="F183" s="6"/>
      <c r="G183">
        <v>1030.6099850000001</v>
      </c>
      <c r="H183" s="9">
        <f t="shared" si="35"/>
        <v>7.7628687053710665E-4</v>
      </c>
      <c r="I183" s="10">
        <f t="shared" si="36"/>
        <v>7.7628687053710665E-4</v>
      </c>
      <c r="J183" s="6"/>
      <c r="K183">
        <v>217.220001</v>
      </c>
      <c r="L183" s="9">
        <f t="shared" si="37"/>
        <v>5.8926387722464087E-3</v>
      </c>
      <c r="M183" s="10">
        <f t="shared" si="41"/>
        <v>5.8926387722464087E-3</v>
      </c>
      <c r="N183" s="6"/>
      <c r="O183">
        <v>109.68</v>
      </c>
      <c r="P183" s="9">
        <f t="shared" si="38"/>
        <v>-1.0849762946754255E-2</v>
      </c>
      <c r="Q183" s="10">
        <f t="shared" si="39"/>
        <v>-1.0849762946754255E-2</v>
      </c>
      <c r="R183" s="6"/>
      <c r="S183">
        <v>6687.3398440000001</v>
      </c>
      <c r="T183" s="28">
        <f t="shared" si="42"/>
        <v>-1.5461819260280567E-3</v>
      </c>
      <c r="V183" s="6"/>
      <c r="W183">
        <v>81.459998999999996</v>
      </c>
      <c r="X183" s="27">
        <f t="shared" si="43"/>
        <v>2.0991885845714417E-2</v>
      </c>
      <c r="Y183" s="26">
        <f t="shared" si="44"/>
        <v>2.0991885845714417E-2</v>
      </c>
      <c r="Z183" s="6"/>
      <c r="AA183">
        <v>477.040009</v>
      </c>
      <c r="AB183" s="27">
        <f t="shared" si="45"/>
        <v>-1</v>
      </c>
      <c r="AC183" s="26" t="str">
        <f t="shared" si="46"/>
        <v/>
      </c>
      <c r="AD183" s="6"/>
      <c r="AE183">
        <v>1994.0500489999999</v>
      </c>
      <c r="AF183" s="27">
        <f t="shared" si="47"/>
        <v>-1.5857172198790691E-2</v>
      </c>
      <c r="AG183" s="27">
        <f t="shared" si="48"/>
        <v>-1.5857172198790691E-2</v>
      </c>
      <c r="AH183" s="6"/>
      <c r="AI183">
        <v>37.716498999999999</v>
      </c>
      <c r="AJ183" s="27">
        <f t="shared" si="49"/>
        <v>-8.9721477064983682E-3</v>
      </c>
      <c r="AK183" s="27">
        <f t="shared" si="50"/>
        <v>-8.9721477064983682E-3</v>
      </c>
    </row>
    <row r="184" spans="1:37" ht="14.5" x14ac:dyDescent="0.35">
      <c r="A184" s="1">
        <v>44894</v>
      </c>
      <c r="B184">
        <v>53.541901000000003</v>
      </c>
      <c r="D184" s="12">
        <f t="shared" si="40"/>
        <v>5.0427794859156383E-5</v>
      </c>
      <c r="E184" s="13">
        <f t="shared" si="34"/>
        <v>5.0427794859156383E-5</v>
      </c>
      <c r="F184" s="6"/>
      <c r="G184">
        <v>1031.410034</v>
      </c>
      <c r="H184" s="9">
        <f t="shared" si="35"/>
        <v>-1</v>
      </c>
      <c r="I184" s="10" t="str">
        <f t="shared" si="36"/>
        <v/>
      </c>
      <c r="J184" s="6"/>
      <c r="K184">
        <v>218.5</v>
      </c>
      <c r="L184" s="9">
        <f t="shared" si="37"/>
        <v>-3.1579038901601497E-3</v>
      </c>
      <c r="M184" s="10">
        <f t="shared" si="41"/>
        <v>-3.1579038901601497E-3</v>
      </c>
      <c r="N184" s="6"/>
      <c r="O184">
        <v>108.489998</v>
      </c>
      <c r="P184" s="9">
        <f t="shared" si="38"/>
        <v>-9.0330539041949282E-3</v>
      </c>
      <c r="Q184" s="10">
        <f t="shared" si="39"/>
        <v>-9.0330539041949282E-3</v>
      </c>
      <c r="R184" s="6"/>
      <c r="S184">
        <v>6677</v>
      </c>
      <c r="T184" s="28">
        <f t="shared" si="42"/>
        <v>-7.8182042833612104E-4</v>
      </c>
      <c r="V184" s="6"/>
      <c r="W184">
        <v>83.169998000000007</v>
      </c>
      <c r="X184" s="27">
        <f t="shared" si="43"/>
        <v>-1.5029458098580211E-2</v>
      </c>
      <c r="Y184" s="26">
        <f t="shared" si="44"/>
        <v>-1.5029458098580211E-2</v>
      </c>
      <c r="Z184" s="6"/>
      <c r="AA184" t="s">
        <v>42</v>
      </c>
      <c r="AB184" s="27">
        <f t="shared" si="45"/>
        <v>-1</v>
      </c>
      <c r="AC184" s="26" t="str">
        <f t="shared" si="46"/>
        <v/>
      </c>
      <c r="AD184" s="6"/>
      <c r="AE184">
        <v>1962.4300539999999</v>
      </c>
      <c r="AF184" s="27">
        <f t="shared" si="47"/>
        <v>-1.5644221274242042E-3</v>
      </c>
      <c r="AG184" s="27">
        <f t="shared" si="48"/>
        <v>-1.5644221274242042E-3</v>
      </c>
      <c r="AH184" s="6"/>
      <c r="AI184">
        <v>37.378101000000001</v>
      </c>
      <c r="AJ184" s="27">
        <f t="shared" si="49"/>
        <v>-1.8968299111824825E-2</v>
      </c>
      <c r="AK184" s="27">
        <f t="shared" si="50"/>
        <v>-1.8968299111824825E-2</v>
      </c>
    </row>
    <row r="185" spans="1:37" ht="14.5" x14ac:dyDescent="0.35">
      <c r="A185" s="1">
        <v>44895</v>
      </c>
      <c r="B185">
        <v>53.544601</v>
      </c>
      <c r="D185" s="12">
        <f t="shared" si="40"/>
        <v>3.1711880717862384E-5</v>
      </c>
      <c r="E185" s="13">
        <f t="shared" si="34"/>
        <v>3.1711880717862384E-5</v>
      </c>
      <c r="F185" s="6"/>
      <c r="G185" t="s">
        <v>42</v>
      </c>
      <c r="H185" s="9">
        <f t="shared" si="35"/>
        <v>-1</v>
      </c>
      <c r="I185" s="10" t="str">
        <f t="shared" si="36"/>
        <v/>
      </c>
      <c r="J185" s="6"/>
      <c r="K185">
        <v>217.80999800000001</v>
      </c>
      <c r="L185" s="9">
        <f t="shared" si="37"/>
        <v>-1.2396111403481102E-2</v>
      </c>
      <c r="M185" s="10">
        <f t="shared" si="41"/>
        <v>-1.2396111403481102E-2</v>
      </c>
      <c r="N185" s="6"/>
      <c r="O185">
        <v>107.510002</v>
      </c>
      <c r="P185" s="9">
        <f t="shared" si="38"/>
        <v>-1.4789358854257981E-2</v>
      </c>
      <c r="Q185" s="10">
        <f t="shared" si="39"/>
        <v>-1.4789358854257981E-2</v>
      </c>
      <c r="R185" s="6"/>
      <c r="S185">
        <v>6671.7797849999997</v>
      </c>
      <c r="T185" s="28">
        <f t="shared" si="42"/>
        <v>-3.5792372904285856E-3</v>
      </c>
      <c r="V185" s="6"/>
      <c r="W185">
        <v>81.919998000000007</v>
      </c>
      <c r="X185" s="27">
        <f t="shared" si="43"/>
        <v>-3.0029285401105728E-2</v>
      </c>
      <c r="Y185" s="26">
        <f t="shared" si="44"/>
        <v>-3.0029285401105728E-2</v>
      </c>
      <c r="Z185" s="6"/>
      <c r="AA185">
        <v>465.29998799999998</v>
      </c>
      <c r="AB185" s="27">
        <f t="shared" si="45"/>
        <v>-3.1076708301999784E-2</v>
      </c>
      <c r="AC185" s="26">
        <f t="shared" si="46"/>
        <v>-3.1076708301999784E-2</v>
      </c>
      <c r="AD185" s="6"/>
      <c r="AE185">
        <v>1959.3599850000001</v>
      </c>
      <c r="AF185" s="27">
        <f t="shared" si="47"/>
        <v>4.3187569230674072E-2</v>
      </c>
      <c r="AG185" s="27">
        <f t="shared" si="48"/>
        <v>4.3187569230674072E-2</v>
      </c>
      <c r="AH185" s="6"/>
      <c r="AI185">
        <v>36.669102000000002</v>
      </c>
      <c r="AJ185" s="27">
        <f t="shared" si="49"/>
        <v>-1.8399741558983457E-2</v>
      </c>
      <c r="AK185" s="27">
        <f t="shared" si="50"/>
        <v>-1.8399741558983457E-2</v>
      </c>
    </row>
    <row r="186" spans="1:37" ht="14.5" x14ac:dyDescent="0.35">
      <c r="A186" s="1">
        <v>44896</v>
      </c>
      <c r="B186">
        <v>53.546298999999998</v>
      </c>
      <c r="D186" s="12">
        <f t="shared" si="40"/>
        <v>1.513083098423094E-4</v>
      </c>
      <c r="E186" s="13">
        <f t="shared" si="34"/>
        <v>1.513083098423094E-4</v>
      </c>
      <c r="F186" s="6"/>
      <c r="G186">
        <v>1030.76001</v>
      </c>
      <c r="H186" s="9">
        <f t="shared" si="35"/>
        <v>1.2515415688274314E-3</v>
      </c>
      <c r="I186" s="10">
        <f t="shared" si="36"/>
        <v>1.2515415688274314E-3</v>
      </c>
      <c r="J186" s="6"/>
      <c r="K186">
        <v>215.11000100000001</v>
      </c>
      <c r="L186" s="9">
        <f t="shared" si="37"/>
        <v>-1.3202533526091197E-2</v>
      </c>
      <c r="M186" s="10">
        <f t="shared" si="41"/>
        <v>-1.3202533526091197E-2</v>
      </c>
      <c r="N186" s="6"/>
      <c r="O186">
        <v>105.91999800000001</v>
      </c>
      <c r="P186" s="9">
        <f t="shared" si="38"/>
        <v>8.3082044620128963E-3</v>
      </c>
      <c r="Q186" s="10">
        <f t="shared" si="39"/>
        <v>8.3082044620128963E-3</v>
      </c>
      <c r="R186" s="6"/>
      <c r="S186">
        <v>6647.8999020000001</v>
      </c>
      <c r="T186" s="28">
        <f t="shared" si="42"/>
        <v>3.6583452456441889E-3</v>
      </c>
      <c r="V186" s="6"/>
      <c r="W186">
        <v>79.459998999999996</v>
      </c>
      <c r="X186" s="27">
        <f t="shared" si="43"/>
        <v>-9.0611755482151012E-3</v>
      </c>
      <c r="Y186" s="26">
        <f t="shared" si="44"/>
        <v>-9.0611755482151012E-3</v>
      </c>
      <c r="Z186" s="6"/>
      <c r="AA186">
        <v>450.83999599999999</v>
      </c>
      <c r="AB186" s="27">
        <f t="shared" si="45"/>
        <v>-1</v>
      </c>
      <c r="AC186" s="26" t="str">
        <f t="shared" si="46"/>
        <v/>
      </c>
      <c r="AD186" s="6"/>
      <c r="AE186">
        <v>2043.9799800000001</v>
      </c>
      <c r="AF186" s="27">
        <f t="shared" si="47"/>
        <v>-1.004904118483586E-2</v>
      </c>
      <c r="AG186" s="27">
        <f t="shared" si="48"/>
        <v>-1.004904118483586E-2</v>
      </c>
      <c r="AH186" s="6"/>
      <c r="AI186">
        <v>35.994399999999999</v>
      </c>
      <c r="AJ186" s="27">
        <f t="shared" si="49"/>
        <v>-4.7840497410708083E-3</v>
      </c>
      <c r="AK186" s="27">
        <f t="shared" si="50"/>
        <v>-4.7840497410708083E-3</v>
      </c>
    </row>
    <row r="187" spans="1:37" ht="14.5" x14ac:dyDescent="0.35">
      <c r="A187" s="1">
        <v>44897</v>
      </c>
      <c r="B187">
        <v>53.554400999999999</v>
      </c>
      <c r="D187" s="12">
        <f t="shared" si="40"/>
        <v>-1</v>
      </c>
      <c r="E187" s="13" t="str">
        <f t="shared" si="34"/>
        <v/>
      </c>
      <c r="F187" s="6"/>
      <c r="G187">
        <v>1032.0500489999999</v>
      </c>
      <c r="H187" s="9">
        <f t="shared" si="35"/>
        <v>5.2807041725164011E-3</v>
      </c>
      <c r="I187" s="10">
        <f t="shared" si="36"/>
        <v>5.2807041725164011E-3</v>
      </c>
      <c r="J187" s="6"/>
      <c r="K187">
        <v>212.270004</v>
      </c>
      <c r="L187" s="9">
        <f t="shared" si="37"/>
        <v>-1.7901964141858275E-3</v>
      </c>
      <c r="M187" s="10">
        <f t="shared" si="41"/>
        <v>-1.7901964141858275E-3</v>
      </c>
      <c r="N187" s="6"/>
      <c r="O187">
        <v>106.800003</v>
      </c>
      <c r="P187" s="9">
        <f t="shared" si="38"/>
        <v>1.2359550214619312E-2</v>
      </c>
      <c r="Q187" s="10">
        <f t="shared" si="39"/>
        <v>1.2359550214619312E-2</v>
      </c>
      <c r="R187" s="6"/>
      <c r="S187">
        <v>6672.2202150000003</v>
      </c>
      <c r="T187" s="28">
        <f t="shared" si="42"/>
        <v>8.3225348101013952E-3</v>
      </c>
      <c r="V187" s="6"/>
      <c r="W187">
        <v>78.739998</v>
      </c>
      <c r="X187" s="27">
        <f t="shared" si="43"/>
        <v>7.1120779048026378E-3</v>
      </c>
      <c r="Y187" s="26">
        <f t="shared" si="44"/>
        <v>7.1120779048026378E-3</v>
      </c>
      <c r="Z187" s="6"/>
      <c r="AA187" t="s">
        <v>42</v>
      </c>
      <c r="AB187" s="27">
        <f t="shared" si="45"/>
        <v>-1</v>
      </c>
      <c r="AC187" s="26" t="str">
        <f t="shared" si="46"/>
        <v/>
      </c>
      <c r="AD187" s="6"/>
      <c r="AE187">
        <v>2023.4399410000001</v>
      </c>
      <c r="AF187" s="27">
        <f t="shared" si="47"/>
        <v>-7.1462269311802721E-3</v>
      </c>
      <c r="AG187" s="27">
        <f t="shared" si="48"/>
        <v>-7.1462269311802721E-3</v>
      </c>
      <c r="AH187" s="6"/>
      <c r="AI187">
        <v>35.822201</v>
      </c>
      <c r="AJ187" s="27">
        <f t="shared" si="49"/>
        <v>1.4864999501286906E-2</v>
      </c>
      <c r="AK187" s="27">
        <f t="shared" si="50"/>
        <v>1.4864999501286906E-2</v>
      </c>
    </row>
    <row r="188" spans="1:37" ht="14.5" x14ac:dyDescent="0.35">
      <c r="A188" s="1">
        <v>44900</v>
      </c>
      <c r="B188" t="s">
        <v>42</v>
      </c>
      <c r="D188" s="12">
        <f t="shared" si="40"/>
        <v>-1</v>
      </c>
      <c r="E188" s="13" t="str">
        <f t="shared" si="34"/>
        <v/>
      </c>
      <c r="F188" s="6"/>
      <c r="G188">
        <v>1037.5</v>
      </c>
      <c r="H188" s="9">
        <f t="shared" si="35"/>
        <v>3.5951614457831989E-3</v>
      </c>
      <c r="I188" s="10">
        <f t="shared" si="36"/>
        <v>3.5951614457831989E-3</v>
      </c>
      <c r="J188" s="6"/>
      <c r="K188">
        <v>211.88999899999999</v>
      </c>
      <c r="L188" s="9">
        <f t="shared" si="37"/>
        <v>9.1557081936652369E-3</v>
      </c>
      <c r="M188" s="10">
        <f t="shared" si="41"/>
        <v>9.1557081936652369E-3</v>
      </c>
      <c r="N188" s="6"/>
      <c r="O188">
        <v>108.120003</v>
      </c>
      <c r="P188" s="9">
        <f t="shared" si="38"/>
        <v>2.7746484616728117E-3</v>
      </c>
      <c r="Q188" s="10">
        <f t="shared" si="39"/>
        <v>2.7746484616728117E-3</v>
      </c>
      <c r="R188" s="6"/>
      <c r="S188">
        <v>6727.75</v>
      </c>
      <c r="T188" s="28">
        <f t="shared" si="42"/>
        <v>-7.9461872096911398E-3</v>
      </c>
      <c r="V188" s="6"/>
      <c r="W188">
        <v>79.300003000000004</v>
      </c>
      <c r="X188" s="27">
        <f t="shared" si="43"/>
        <v>1.513177748555734E-3</v>
      </c>
      <c r="Y188" s="26">
        <f t="shared" si="44"/>
        <v>1.513177748555734E-3</v>
      </c>
      <c r="Z188" s="6"/>
      <c r="AA188">
        <v>452.20001200000002</v>
      </c>
      <c r="AB188" s="27">
        <f t="shared" si="45"/>
        <v>9.8186706815036311E-3</v>
      </c>
      <c r="AC188" s="26">
        <f t="shared" si="46"/>
        <v>9.8186706815036311E-3</v>
      </c>
      <c r="AD188" s="6"/>
      <c r="AE188">
        <v>2008.9799800000001</v>
      </c>
      <c r="AF188" s="27">
        <f t="shared" si="47"/>
        <v>-2.4191368497360578E-2</v>
      </c>
      <c r="AG188" s="27">
        <f t="shared" si="48"/>
        <v>-2.4191368497360578E-2</v>
      </c>
      <c r="AH188" s="6"/>
      <c r="AI188">
        <v>36.354697999999999</v>
      </c>
      <c r="AJ188" s="27">
        <f t="shared" si="49"/>
        <v>-5.462760273789084E-3</v>
      </c>
      <c r="AK188" s="27">
        <f t="shared" si="50"/>
        <v>-5.462760273789084E-3</v>
      </c>
    </row>
    <row r="189" spans="1:37" ht="14.5" x14ac:dyDescent="0.35">
      <c r="A189" s="1">
        <v>44901</v>
      </c>
      <c r="B189">
        <v>53.560901999999999</v>
      </c>
      <c r="D189" s="12">
        <f t="shared" si="40"/>
        <v>6.3460469728491623E-5</v>
      </c>
      <c r="E189" s="13">
        <f t="shared" si="34"/>
        <v>6.3460469728491623E-5</v>
      </c>
      <c r="F189" s="6"/>
      <c r="G189">
        <v>1041.2299800000001</v>
      </c>
      <c r="H189" s="9">
        <f t="shared" si="35"/>
        <v>-1.507780250430431E-3</v>
      </c>
      <c r="I189" s="10">
        <f t="shared" si="36"/>
        <v>-1.507780250430431E-3</v>
      </c>
      <c r="J189" s="6"/>
      <c r="K189">
        <v>213.83000200000001</v>
      </c>
      <c r="L189" s="9">
        <f t="shared" si="37"/>
        <v>-1</v>
      </c>
      <c r="M189" s="10" t="str">
        <f t="shared" si="41"/>
        <v/>
      </c>
      <c r="N189" s="6"/>
      <c r="O189">
        <v>108.41999800000001</v>
      </c>
      <c r="P189" s="9">
        <f t="shared" si="38"/>
        <v>-5.6262683199829388E-3</v>
      </c>
      <c r="Q189" s="10">
        <f t="shared" si="39"/>
        <v>-5.6262683199829388E-3</v>
      </c>
      <c r="R189" s="6"/>
      <c r="S189">
        <v>6674.2900390000004</v>
      </c>
      <c r="T189" s="28">
        <f t="shared" si="42"/>
        <v>-2.5270126862103066E-2</v>
      </c>
      <c r="V189" s="6"/>
      <c r="W189">
        <v>79.419998000000007</v>
      </c>
      <c r="X189" s="27">
        <f t="shared" si="43"/>
        <v>-1.3850415861256207E-3</v>
      </c>
      <c r="Y189" s="26">
        <f t="shared" si="44"/>
        <v>-1.3850415861256207E-3</v>
      </c>
      <c r="Z189" s="6"/>
      <c r="AA189">
        <v>456.64001500000001</v>
      </c>
      <c r="AB189" s="27">
        <f t="shared" si="45"/>
        <v>-1</v>
      </c>
      <c r="AC189" s="26" t="str">
        <f t="shared" si="46"/>
        <v/>
      </c>
      <c r="AD189" s="6"/>
      <c r="AE189">
        <v>1960.380005</v>
      </c>
      <c r="AF189" s="27">
        <f t="shared" si="47"/>
        <v>-1.9108520238146392E-2</v>
      </c>
      <c r="AG189" s="27">
        <f t="shared" si="48"/>
        <v>-1.9108520238146392E-2</v>
      </c>
      <c r="AH189" s="6"/>
      <c r="AI189">
        <v>36.156101</v>
      </c>
      <c r="AJ189" s="27">
        <f t="shared" si="49"/>
        <v>1.9291322369079579E-2</v>
      </c>
      <c r="AK189" s="27">
        <f t="shared" si="50"/>
        <v>1.9291322369079579E-2</v>
      </c>
    </row>
    <row r="190" spans="1:37" ht="14.5" x14ac:dyDescent="0.35">
      <c r="A190" s="1">
        <v>44902</v>
      </c>
      <c r="B190">
        <v>53.564301</v>
      </c>
      <c r="D190" s="12">
        <f t="shared" si="40"/>
        <v>4.2939046287530053E-5</v>
      </c>
      <c r="E190" s="13">
        <f t="shared" si="34"/>
        <v>4.2939046287530053E-5</v>
      </c>
      <c r="F190" s="6"/>
      <c r="G190">
        <v>1039.660034</v>
      </c>
      <c r="H190" s="9">
        <f t="shared" si="35"/>
        <v>2.4046322049925024E-4</v>
      </c>
      <c r="I190" s="10">
        <f t="shared" si="36"/>
        <v>2.4046322049925024E-4</v>
      </c>
      <c r="J190" s="6"/>
      <c r="K190" t="s">
        <v>42</v>
      </c>
      <c r="L190" s="9">
        <f t="shared" si="37"/>
        <v>-1</v>
      </c>
      <c r="M190" s="10" t="str">
        <f t="shared" si="41"/>
        <v/>
      </c>
      <c r="N190" s="6"/>
      <c r="O190">
        <v>107.80999799999999</v>
      </c>
      <c r="P190" s="9">
        <f t="shared" si="38"/>
        <v>-8.4407384925467913E-3</v>
      </c>
      <c r="Q190" s="10">
        <f t="shared" si="39"/>
        <v>-8.4407384925467913E-3</v>
      </c>
      <c r="R190" s="6"/>
      <c r="S190">
        <v>6505.6298829999996</v>
      </c>
      <c r="T190" s="28">
        <f t="shared" si="42"/>
        <v>-5.3337966690472673E-3</v>
      </c>
      <c r="V190" s="6"/>
      <c r="W190">
        <v>79.309997999999993</v>
      </c>
      <c r="X190" s="27">
        <f t="shared" si="43"/>
        <v>1.7526150990446417E-2</v>
      </c>
      <c r="Y190" s="26">
        <f t="shared" si="44"/>
        <v>1.7526150990446417E-2</v>
      </c>
      <c r="Z190" s="6"/>
      <c r="AA190" t="s">
        <v>42</v>
      </c>
      <c r="AB190" s="27">
        <f t="shared" si="45"/>
        <v>-1</v>
      </c>
      <c r="AC190" s="26" t="str">
        <f t="shared" si="46"/>
        <v/>
      </c>
      <c r="AD190" s="6"/>
      <c r="AE190">
        <v>1922.920044</v>
      </c>
      <c r="AF190" s="27">
        <f t="shared" si="47"/>
        <v>-6.5681384098152254E-3</v>
      </c>
      <c r="AG190" s="27">
        <f t="shared" si="48"/>
        <v>-6.5681384098152254E-3</v>
      </c>
      <c r="AH190" s="6"/>
      <c r="AI190">
        <v>36.8536</v>
      </c>
      <c r="AJ190" s="27">
        <f t="shared" si="49"/>
        <v>1.216980159333146E-2</v>
      </c>
      <c r="AK190" s="27">
        <f t="shared" si="50"/>
        <v>1.216980159333146E-2</v>
      </c>
    </row>
    <row r="191" spans="1:37" ht="14.5" x14ac:dyDescent="0.35">
      <c r="A191" s="1">
        <v>44903</v>
      </c>
      <c r="B191">
        <v>53.566600999999999</v>
      </c>
      <c r="D191" s="12">
        <f t="shared" si="40"/>
        <v>8.0255232173554589E-5</v>
      </c>
      <c r="E191" s="13">
        <f t="shared" si="34"/>
        <v>8.0255232173554589E-5</v>
      </c>
      <c r="F191" s="6"/>
      <c r="G191">
        <v>1039.910034</v>
      </c>
      <c r="H191" s="9">
        <f t="shared" si="35"/>
        <v>-6.154513170127414E-4</v>
      </c>
      <c r="I191" s="10">
        <f t="shared" si="36"/>
        <v>-6.154513170127414E-4</v>
      </c>
      <c r="J191" s="6"/>
      <c r="K191">
        <v>215.220001</v>
      </c>
      <c r="L191" s="9">
        <f t="shared" si="37"/>
        <v>1.4218000119793734E-2</v>
      </c>
      <c r="M191" s="10">
        <f t="shared" si="41"/>
        <v>1.4218000119793734E-2</v>
      </c>
      <c r="N191" s="6"/>
      <c r="O191">
        <v>106.900002</v>
      </c>
      <c r="P191" s="9">
        <f t="shared" si="38"/>
        <v>2.1514966856595792E-3</v>
      </c>
      <c r="Q191" s="10">
        <f t="shared" si="39"/>
        <v>2.1514966856595792E-3</v>
      </c>
      <c r="R191" s="6"/>
      <c r="S191">
        <v>6470.9301759999998</v>
      </c>
      <c r="T191" s="28">
        <f t="shared" si="42"/>
        <v>-8.0730642394742196E-3</v>
      </c>
      <c r="V191" s="6"/>
      <c r="W191">
        <v>80.699996999999996</v>
      </c>
      <c r="X191" s="27">
        <f t="shared" si="43"/>
        <v>1.5117732904005072E-2</v>
      </c>
      <c r="Y191" s="26">
        <f t="shared" si="44"/>
        <v>1.5117732904005072E-2</v>
      </c>
      <c r="Z191" s="6"/>
      <c r="AA191">
        <v>481.61999500000002</v>
      </c>
      <c r="AB191" s="27">
        <f t="shared" si="45"/>
        <v>-1.9662806981259207E-2</v>
      </c>
      <c r="AC191" s="26">
        <f t="shared" si="46"/>
        <v>-1.9662806981259207E-2</v>
      </c>
      <c r="AD191" s="6"/>
      <c r="AE191">
        <v>1910.290039</v>
      </c>
      <c r="AF191" s="27">
        <f t="shared" si="47"/>
        <v>1.0856984843441376E-2</v>
      </c>
      <c r="AG191" s="27">
        <f t="shared" si="48"/>
        <v>1.0856984843441376E-2</v>
      </c>
      <c r="AH191" s="6"/>
      <c r="AI191">
        <v>37.302101</v>
      </c>
      <c r="AJ191" s="27">
        <f t="shared" si="49"/>
        <v>-5.8174471191313939E-3</v>
      </c>
      <c r="AK191" s="27">
        <f t="shared" si="50"/>
        <v>-5.8174471191313939E-3</v>
      </c>
    </row>
    <row r="192" spans="1:37" ht="14.5" x14ac:dyDescent="0.35">
      <c r="A192" s="1">
        <v>44904</v>
      </c>
      <c r="B192">
        <v>53.570900000000002</v>
      </c>
      <c r="D192" s="12">
        <f t="shared" si="40"/>
        <v>-1</v>
      </c>
      <c r="E192" s="13" t="str">
        <f t="shared" si="34"/>
        <v/>
      </c>
      <c r="F192" s="6"/>
      <c r="G192">
        <v>1039.2700199999999</v>
      </c>
      <c r="H192" s="9">
        <f t="shared" si="35"/>
        <v>-1.8763881979390292E-3</v>
      </c>
      <c r="I192" s="10">
        <f t="shared" si="36"/>
        <v>-1.8763881979390292E-3</v>
      </c>
      <c r="J192" s="6"/>
      <c r="K192">
        <v>218.279999</v>
      </c>
      <c r="L192" s="9">
        <f t="shared" si="37"/>
        <v>-3.0694429314157756E-3</v>
      </c>
      <c r="M192" s="10">
        <f t="shared" si="41"/>
        <v>-3.0694429314157756E-3</v>
      </c>
      <c r="N192" s="6"/>
      <c r="O192">
        <v>107.129997</v>
      </c>
      <c r="P192" s="9">
        <f t="shared" si="38"/>
        <v>9.6145526821959839E-3</v>
      </c>
      <c r="Q192" s="10">
        <f t="shared" si="39"/>
        <v>9.6145526821959839E-3</v>
      </c>
      <c r="R192" s="6"/>
      <c r="S192">
        <v>6418.6899409999996</v>
      </c>
      <c r="T192" s="28">
        <f t="shared" si="42"/>
        <v>7.8551733240669469E-3</v>
      </c>
      <c r="V192" s="6"/>
      <c r="W192">
        <v>81.919998000000007</v>
      </c>
      <c r="X192" s="27">
        <f t="shared" si="43"/>
        <v>-1.7700159123539169E-2</v>
      </c>
      <c r="Y192" s="26">
        <f t="shared" si="44"/>
        <v>-1.7700159123539169E-2</v>
      </c>
      <c r="Z192" s="6"/>
      <c r="AA192">
        <v>472.14999399999999</v>
      </c>
      <c r="AB192" s="27">
        <f t="shared" si="45"/>
        <v>-1</v>
      </c>
      <c r="AC192" s="26" t="str">
        <f t="shared" si="46"/>
        <v/>
      </c>
      <c r="AD192" s="6"/>
      <c r="AE192">
        <v>1931.030029</v>
      </c>
      <c r="AF192" s="27">
        <f t="shared" si="47"/>
        <v>-5.9191482412726598E-3</v>
      </c>
      <c r="AG192" s="27">
        <f t="shared" si="48"/>
        <v>-5.9191482412726598E-3</v>
      </c>
      <c r="AH192" s="6"/>
      <c r="AI192">
        <v>37.085098000000002</v>
      </c>
      <c r="AJ192" s="27">
        <f t="shared" si="49"/>
        <v>-3.8950955448466253E-2</v>
      </c>
      <c r="AK192" s="27">
        <f t="shared" si="50"/>
        <v>-3.8950955448466253E-2</v>
      </c>
    </row>
    <row r="193" spans="1:37" ht="14.5" x14ac:dyDescent="0.35">
      <c r="A193" s="1">
        <v>44907</v>
      </c>
      <c r="B193" t="s">
        <v>42</v>
      </c>
      <c r="D193" s="12">
        <f t="shared" si="40"/>
        <v>-1</v>
      </c>
      <c r="E193" s="13" t="str">
        <f t="shared" si="34"/>
        <v/>
      </c>
      <c r="F193" s="6"/>
      <c r="G193">
        <v>1037.3199460000001</v>
      </c>
      <c r="H193" s="9">
        <f t="shared" si="35"/>
        <v>-1</v>
      </c>
      <c r="I193" s="10" t="str">
        <f t="shared" si="36"/>
        <v/>
      </c>
      <c r="J193" s="6"/>
      <c r="K193">
        <v>217.61000100000001</v>
      </c>
      <c r="L193" s="9">
        <f t="shared" si="37"/>
        <v>-3.1018794949594249E-2</v>
      </c>
      <c r="M193" s="10">
        <f t="shared" si="41"/>
        <v>-3.1018794949594249E-2</v>
      </c>
      <c r="N193" s="6"/>
      <c r="O193">
        <v>108.160004</v>
      </c>
      <c r="P193" s="9">
        <f t="shared" si="38"/>
        <v>-1.3036279103687909E-2</v>
      </c>
      <c r="Q193" s="10">
        <f t="shared" si="39"/>
        <v>-1.3036279103687909E-2</v>
      </c>
      <c r="R193" s="6"/>
      <c r="S193">
        <v>6469.1098629999997</v>
      </c>
      <c r="T193" s="28">
        <f t="shared" si="42"/>
        <v>1.8300838833659537E-2</v>
      </c>
      <c r="V193" s="6"/>
      <c r="W193">
        <v>80.470000999999996</v>
      </c>
      <c r="X193" s="27">
        <f t="shared" si="43"/>
        <v>-2.1622939957463155E-2</v>
      </c>
      <c r="Y193" s="26">
        <f t="shared" si="44"/>
        <v>-2.1622939957463155E-2</v>
      </c>
      <c r="Z193" s="6"/>
      <c r="AA193" t="s">
        <v>42</v>
      </c>
      <c r="AB193" s="27">
        <f t="shared" si="45"/>
        <v>-1</v>
      </c>
      <c r="AC193" s="26" t="str">
        <f t="shared" si="46"/>
        <v/>
      </c>
      <c r="AD193" s="6"/>
      <c r="AE193">
        <v>1919.599976</v>
      </c>
      <c r="AF193" s="27">
        <f t="shared" si="47"/>
        <v>1.7003549910442416E-2</v>
      </c>
      <c r="AG193" s="27">
        <f t="shared" si="48"/>
        <v>1.7003549910442416E-2</v>
      </c>
      <c r="AH193" s="6"/>
      <c r="AI193">
        <v>35.640597999999997</v>
      </c>
      <c r="AJ193" s="27">
        <f t="shared" si="49"/>
        <v>-6.9947760135785613E-3</v>
      </c>
      <c r="AK193" s="27">
        <f t="shared" si="50"/>
        <v>-6.9947760135785613E-3</v>
      </c>
    </row>
    <row r="194" spans="1:37" ht="14.5" x14ac:dyDescent="0.35">
      <c r="A194" s="1">
        <v>44908</v>
      </c>
      <c r="B194">
        <v>53.571300999999998</v>
      </c>
      <c r="D194" s="12">
        <f t="shared" si="40"/>
        <v>6.1581479979334211E-5</v>
      </c>
      <c r="E194" s="13">
        <f t="shared" si="34"/>
        <v>6.1581479979334211E-5</v>
      </c>
      <c r="F194" s="6"/>
      <c r="G194" t="s">
        <v>42</v>
      </c>
      <c r="H194" s="9">
        <f t="shared" si="35"/>
        <v>-1</v>
      </c>
      <c r="I194" s="10" t="str">
        <f t="shared" si="36"/>
        <v/>
      </c>
      <c r="J194" s="6"/>
      <c r="K194">
        <v>210.86000100000001</v>
      </c>
      <c r="L194" s="9">
        <f t="shared" si="37"/>
        <v>-1.1761339221467611E-2</v>
      </c>
      <c r="M194" s="10">
        <f t="shared" si="41"/>
        <v>-1.1761339221467611E-2</v>
      </c>
      <c r="N194" s="6"/>
      <c r="O194">
        <v>106.75</v>
      </c>
      <c r="P194" s="9">
        <f t="shared" si="38"/>
        <v>2.5105386416861889E-2</v>
      </c>
      <c r="Q194" s="10">
        <f t="shared" si="39"/>
        <v>2.5105386416861889E-2</v>
      </c>
      <c r="R194" s="6"/>
      <c r="S194">
        <v>6587.5</v>
      </c>
      <c r="T194" s="28">
        <f t="shared" si="42"/>
        <v>-1.1278907779886094E-2</v>
      </c>
      <c r="V194" s="6"/>
      <c r="W194">
        <v>78.730002999999996</v>
      </c>
      <c r="X194" s="27">
        <f t="shared" si="43"/>
        <v>-1.3082763378022484E-2</v>
      </c>
      <c r="Y194" s="26">
        <f t="shared" si="44"/>
        <v>-1.3082763378022484E-2</v>
      </c>
      <c r="Z194" s="6"/>
      <c r="AA194">
        <v>448.540009</v>
      </c>
      <c r="AB194" s="27">
        <f t="shared" si="45"/>
        <v>-2.2963434238482884E-2</v>
      </c>
      <c r="AC194" s="26">
        <f t="shared" si="46"/>
        <v>-2.2963434238482884E-2</v>
      </c>
      <c r="AD194" s="6"/>
      <c r="AE194">
        <v>1952.23999</v>
      </c>
      <c r="AF194" s="27">
        <f t="shared" si="47"/>
        <v>3.150240252992622E-3</v>
      </c>
      <c r="AG194" s="27">
        <f t="shared" si="48"/>
        <v>3.150240252992622E-3</v>
      </c>
      <c r="AH194" s="6"/>
      <c r="AI194">
        <v>35.391300000000001</v>
      </c>
      <c r="AJ194" s="27">
        <f t="shared" si="49"/>
        <v>-1.5368155450633438E-2</v>
      </c>
      <c r="AK194" s="27">
        <f t="shared" si="50"/>
        <v>-1.5368155450633438E-2</v>
      </c>
    </row>
    <row r="195" spans="1:37" ht="14.5" x14ac:dyDescent="0.35">
      <c r="A195" s="1">
        <v>44909</v>
      </c>
      <c r="B195">
        <v>53.574599999999997</v>
      </c>
      <c r="D195" s="12">
        <f t="shared" si="40"/>
        <v>-3.695781209705308E-6</v>
      </c>
      <c r="E195" s="13">
        <f t="shared" si="34"/>
        <v>-3.695781209705308E-6</v>
      </c>
      <c r="F195" s="6"/>
      <c r="G195">
        <v>1035.089966</v>
      </c>
      <c r="H195" s="9">
        <f t="shared" si="35"/>
        <v>-1</v>
      </c>
      <c r="I195" s="10" t="str">
        <f t="shared" si="36"/>
        <v/>
      </c>
      <c r="J195" s="6"/>
      <c r="K195">
        <v>208.38000500000001</v>
      </c>
      <c r="L195" s="9">
        <f t="shared" si="37"/>
        <v>-1.0461694729300034E-2</v>
      </c>
      <c r="M195" s="10">
        <f t="shared" si="41"/>
        <v>-1.0461694729300034E-2</v>
      </c>
      <c r="N195" s="6"/>
      <c r="O195">
        <v>109.43</v>
      </c>
      <c r="P195" s="9">
        <f t="shared" si="38"/>
        <v>1.1971104815863959E-2</v>
      </c>
      <c r="Q195" s="10">
        <f t="shared" si="39"/>
        <v>1.1971104815863959E-2</v>
      </c>
      <c r="R195" s="6"/>
      <c r="S195">
        <v>6513.2001950000003</v>
      </c>
      <c r="T195" s="28">
        <f t="shared" si="42"/>
        <v>7.1285522646213177E-3</v>
      </c>
      <c r="V195" s="6"/>
      <c r="W195">
        <v>77.699996999999996</v>
      </c>
      <c r="X195" s="27">
        <f t="shared" si="43"/>
        <v>-8.7516090895086215E-3</v>
      </c>
      <c r="Y195" s="26">
        <f t="shared" si="44"/>
        <v>-8.7516090895086215E-3</v>
      </c>
      <c r="Z195" s="6"/>
      <c r="AA195">
        <v>438.23998999999998</v>
      </c>
      <c r="AB195" s="27">
        <f t="shared" si="45"/>
        <v>-4.267056961186861E-3</v>
      </c>
      <c r="AC195" s="26">
        <f t="shared" si="46"/>
        <v>-4.267056961186861E-3</v>
      </c>
      <c r="AD195" s="6"/>
      <c r="AE195">
        <v>1958.3900149999999</v>
      </c>
      <c r="AF195" s="27">
        <f t="shared" si="47"/>
        <v>-8.0320982437198304E-3</v>
      </c>
      <c r="AG195" s="27">
        <f t="shared" si="48"/>
        <v>-8.0320982437198304E-3</v>
      </c>
      <c r="AH195" s="6"/>
      <c r="AI195">
        <v>34.847400999999998</v>
      </c>
      <c r="AJ195" s="27">
        <f t="shared" si="49"/>
        <v>-5.3094346978697264E-4</v>
      </c>
      <c r="AK195" s="27">
        <f t="shared" si="50"/>
        <v>-5.3094346978697264E-4</v>
      </c>
    </row>
    <row r="196" spans="1:37" ht="14.5" x14ac:dyDescent="0.35">
      <c r="A196" s="1">
        <v>44910</v>
      </c>
      <c r="B196">
        <v>53.574401999999999</v>
      </c>
      <c r="D196" s="12">
        <f t="shared" si="40"/>
        <v>2.0341804281823639E-4</v>
      </c>
      <c r="E196" s="13">
        <f t="shared" si="34"/>
        <v>2.0341804281823639E-4</v>
      </c>
      <c r="F196" s="6"/>
      <c r="G196" t="s">
        <v>42</v>
      </c>
      <c r="H196" s="9">
        <f t="shared" si="35"/>
        <v>-1</v>
      </c>
      <c r="I196" s="10" t="str">
        <f t="shared" si="36"/>
        <v/>
      </c>
      <c r="J196" s="6"/>
      <c r="K196">
        <v>206.199997</v>
      </c>
      <c r="L196" s="9">
        <f t="shared" si="37"/>
        <v>6.3048012556475087E-4</v>
      </c>
      <c r="M196" s="10">
        <f t="shared" si="41"/>
        <v>6.3048012556475087E-4</v>
      </c>
      <c r="N196" s="6"/>
      <c r="O196">
        <v>110.739998</v>
      </c>
      <c r="P196" s="9">
        <f t="shared" si="38"/>
        <v>-2.0588757821722228E-2</v>
      </c>
      <c r="Q196" s="10">
        <f t="shared" si="39"/>
        <v>-2.0588757821722228E-2</v>
      </c>
      <c r="R196" s="6"/>
      <c r="S196">
        <v>6559.6298829999996</v>
      </c>
      <c r="T196" s="28">
        <f t="shared" si="42"/>
        <v>2.8509489610793509E-4</v>
      </c>
      <c r="V196" s="6"/>
      <c r="W196">
        <v>77.019997000000004</v>
      </c>
      <c r="X196" s="27">
        <f t="shared" si="43"/>
        <v>1.5969917526743038E-2</v>
      </c>
      <c r="Y196" s="26">
        <f t="shared" si="44"/>
        <v>1.5969917526743038E-2</v>
      </c>
      <c r="Z196" s="6"/>
      <c r="AA196">
        <v>436.36999500000002</v>
      </c>
      <c r="AB196" s="27">
        <f t="shared" si="45"/>
        <v>5.4311593994907014E-3</v>
      </c>
      <c r="AC196" s="26">
        <f t="shared" si="46"/>
        <v>5.4311593994907014E-3</v>
      </c>
      <c r="AD196" s="6"/>
      <c r="AE196">
        <v>1942.660034</v>
      </c>
      <c r="AF196" s="27">
        <f t="shared" si="47"/>
        <v>-3.4329250529071216E-2</v>
      </c>
      <c r="AG196" s="27">
        <f t="shared" si="48"/>
        <v>-3.4329250529071216E-2</v>
      </c>
      <c r="AH196" s="6"/>
      <c r="AI196">
        <v>34.828899</v>
      </c>
      <c r="AJ196" s="27">
        <f t="shared" si="49"/>
        <v>1.2170956078743711E-2</v>
      </c>
      <c r="AK196" s="27">
        <f t="shared" si="50"/>
        <v>1.2170956078743711E-2</v>
      </c>
    </row>
    <row r="197" spans="1:37" ht="14.5" x14ac:dyDescent="0.35">
      <c r="A197" s="1">
        <v>44911</v>
      </c>
      <c r="B197">
        <v>53.585299999999997</v>
      </c>
      <c r="D197" s="12">
        <f t="shared" si="40"/>
        <v>-1</v>
      </c>
      <c r="E197" s="13" t="str">
        <f t="shared" si="34"/>
        <v/>
      </c>
      <c r="F197" s="6"/>
      <c r="G197">
        <v>1035.6800539999999</v>
      </c>
      <c r="H197" s="9">
        <f t="shared" si="35"/>
        <v>-1.8635620069592722E-3</v>
      </c>
      <c r="I197" s="10">
        <f t="shared" si="36"/>
        <v>-1.8635620069592722E-3</v>
      </c>
      <c r="J197" s="6"/>
      <c r="K197">
        <v>206.33000200000001</v>
      </c>
      <c r="L197" s="9">
        <f t="shared" si="37"/>
        <v>1.6236082816496984E-2</v>
      </c>
      <c r="M197" s="10">
        <f t="shared" si="41"/>
        <v>1.6236082816496984E-2</v>
      </c>
      <c r="N197" s="6"/>
      <c r="O197">
        <v>108.459999</v>
      </c>
      <c r="P197" s="9">
        <f t="shared" si="38"/>
        <v>-3.7248764864915677E-2</v>
      </c>
      <c r="Q197" s="10">
        <f t="shared" si="39"/>
        <v>-3.7248764864915677E-2</v>
      </c>
      <c r="R197" s="6"/>
      <c r="S197">
        <v>6561.5</v>
      </c>
      <c r="T197" s="28">
        <f t="shared" si="42"/>
        <v>-1.1407467499809478E-2</v>
      </c>
      <c r="V197" s="6"/>
      <c r="W197">
        <v>78.25</v>
      </c>
      <c r="X197" s="27">
        <f t="shared" si="43"/>
        <v>-3.1309865814696435E-2</v>
      </c>
      <c r="Y197" s="26">
        <f t="shared" si="44"/>
        <v>-3.1309865814696435E-2</v>
      </c>
      <c r="Z197" s="6"/>
      <c r="AA197">
        <v>438.73998999999998</v>
      </c>
      <c r="AB197" s="27">
        <f t="shared" si="45"/>
        <v>-1</v>
      </c>
      <c r="AC197" s="26" t="str">
        <f t="shared" si="46"/>
        <v/>
      </c>
      <c r="AD197" s="6"/>
      <c r="AE197">
        <v>1875.969971</v>
      </c>
      <c r="AF197" s="27">
        <f t="shared" si="47"/>
        <v>-1.1290123150910505E-2</v>
      </c>
      <c r="AG197" s="27">
        <f t="shared" si="48"/>
        <v>-1.1290123150910505E-2</v>
      </c>
      <c r="AH197" s="6"/>
      <c r="AI197">
        <v>35.252800000000001</v>
      </c>
      <c r="AJ197" s="27">
        <f t="shared" si="49"/>
        <v>-2.7847461761902628E-2</v>
      </c>
      <c r="AK197" s="27">
        <f t="shared" si="50"/>
        <v>-2.7847461761902628E-2</v>
      </c>
    </row>
    <row r="198" spans="1:37" ht="14.5" x14ac:dyDescent="0.35">
      <c r="A198" s="1">
        <v>44914</v>
      </c>
      <c r="B198" t="s">
        <v>42</v>
      </c>
      <c r="D198" s="12">
        <f t="shared" si="40"/>
        <v>-1</v>
      </c>
      <c r="E198" s="13" t="str">
        <f t="shared" si="34"/>
        <v/>
      </c>
      <c r="F198" s="6"/>
      <c r="G198">
        <v>1033.75</v>
      </c>
      <c r="H198" s="9">
        <f t="shared" si="35"/>
        <v>-1</v>
      </c>
      <c r="I198" s="10" t="str">
        <f t="shared" si="36"/>
        <v/>
      </c>
      <c r="J198" s="6"/>
      <c r="K198">
        <v>209.679993</v>
      </c>
      <c r="L198" s="9">
        <f t="shared" si="37"/>
        <v>-1.6072086572417946E-2</v>
      </c>
      <c r="M198" s="10">
        <f t="shared" si="41"/>
        <v>-1.6072086572417946E-2</v>
      </c>
      <c r="N198" s="6"/>
      <c r="O198">
        <v>104.41999800000001</v>
      </c>
      <c r="P198" s="9">
        <f t="shared" si="38"/>
        <v>-3.0645470803399876E-3</v>
      </c>
      <c r="Q198" s="10">
        <f t="shared" si="39"/>
        <v>-3.0645470803399876E-3</v>
      </c>
      <c r="R198" s="6"/>
      <c r="S198">
        <v>6486.6499020000001</v>
      </c>
      <c r="T198" s="28">
        <f t="shared" si="42"/>
        <v>7.163977662132239E-3</v>
      </c>
      <c r="V198" s="6"/>
      <c r="W198">
        <v>75.800003000000004</v>
      </c>
      <c r="X198" s="27">
        <f t="shared" si="43"/>
        <v>-1.3852281773656444E-2</v>
      </c>
      <c r="Y198" s="26">
        <f t="shared" si="44"/>
        <v>-1.3852281773656444E-2</v>
      </c>
      <c r="Z198" s="6"/>
      <c r="AA198" t="s">
        <v>42</v>
      </c>
      <c r="AB198" s="27">
        <f t="shared" si="45"/>
        <v>-1</v>
      </c>
      <c r="AC198" s="26" t="str">
        <f t="shared" si="46"/>
        <v/>
      </c>
      <c r="AD198" s="6"/>
      <c r="AE198">
        <v>1854.790039</v>
      </c>
      <c r="AF198" s="27">
        <f t="shared" si="47"/>
        <v>-9.8070739099974259E-3</v>
      </c>
      <c r="AG198" s="27">
        <f t="shared" si="48"/>
        <v>-9.8070739099974259E-3</v>
      </c>
      <c r="AH198" s="6"/>
      <c r="AI198">
        <v>34.271099</v>
      </c>
      <c r="AJ198" s="27">
        <f t="shared" si="49"/>
        <v>6.7111941755885693E-5</v>
      </c>
      <c r="AK198" s="27">
        <f t="shared" si="50"/>
        <v>6.7111941755885693E-5</v>
      </c>
    </row>
    <row r="199" spans="1:37" ht="14.5" x14ac:dyDescent="0.35">
      <c r="A199" s="1">
        <v>44915</v>
      </c>
      <c r="B199">
        <v>53.599800000000002</v>
      </c>
      <c r="D199" s="12">
        <f t="shared" si="40"/>
        <v>4.2910607875368796E-5</v>
      </c>
      <c r="E199" s="13">
        <f t="shared" si="34"/>
        <v>4.2910607875368796E-5</v>
      </c>
      <c r="F199" s="6"/>
      <c r="G199" t="s">
        <v>42</v>
      </c>
      <c r="H199" s="9">
        <f t="shared" si="35"/>
        <v>-1</v>
      </c>
      <c r="I199" s="10" t="str">
        <f t="shared" si="36"/>
        <v/>
      </c>
      <c r="J199" s="6"/>
      <c r="K199">
        <v>206.30999800000001</v>
      </c>
      <c r="L199" s="9">
        <f t="shared" si="37"/>
        <v>1.6965052755222225E-3</v>
      </c>
      <c r="M199" s="10">
        <f t="shared" si="41"/>
        <v>1.6965052755222225E-3</v>
      </c>
      <c r="N199" s="6"/>
      <c r="O199">
        <v>104.099998</v>
      </c>
      <c r="P199" s="9">
        <f t="shared" si="38"/>
        <v>-1.8251691032693421E-2</v>
      </c>
      <c r="Q199" s="10">
        <f t="shared" si="39"/>
        <v>-1.8251691032693421E-2</v>
      </c>
      <c r="R199" s="6"/>
      <c r="S199">
        <v>6533.1201170000004</v>
      </c>
      <c r="T199" s="28">
        <f t="shared" si="42"/>
        <v>-1.8444927973456143E-3</v>
      </c>
      <c r="V199" s="6"/>
      <c r="W199">
        <v>74.75</v>
      </c>
      <c r="X199" s="27">
        <f t="shared" si="43"/>
        <v>-1.1772535117056896E-2</v>
      </c>
      <c r="Y199" s="26">
        <f t="shared" si="44"/>
        <v>-1.1772535117056896E-2</v>
      </c>
      <c r="Z199" s="6"/>
      <c r="AA199">
        <v>424.08999599999999</v>
      </c>
      <c r="AB199" s="27">
        <f t="shared" si="45"/>
        <v>-1</v>
      </c>
      <c r="AC199" s="26" t="str">
        <f t="shared" si="46"/>
        <v/>
      </c>
      <c r="AD199" s="6"/>
      <c r="AE199">
        <v>1836.599976</v>
      </c>
      <c r="AF199" s="27">
        <f t="shared" si="47"/>
        <v>-2.4610802891570612E-3</v>
      </c>
      <c r="AG199" s="27">
        <f t="shared" si="48"/>
        <v>-2.4610802891570612E-3</v>
      </c>
      <c r="AH199" s="6"/>
      <c r="AI199">
        <v>34.273398999999998</v>
      </c>
      <c r="AJ199" s="27">
        <f t="shared" si="49"/>
        <v>-9.2637733421187685E-3</v>
      </c>
      <c r="AK199" s="27">
        <f t="shared" si="50"/>
        <v>-9.2637733421187685E-3</v>
      </c>
    </row>
    <row r="200" spans="1:37" ht="14.5" x14ac:dyDescent="0.35">
      <c r="A200" s="1">
        <v>44916</v>
      </c>
      <c r="B200">
        <v>53.6021</v>
      </c>
      <c r="D200" s="12">
        <f t="shared" si="40"/>
        <v>-1</v>
      </c>
      <c r="E200" s="13" t="str">
        <f t="shared" si="34"/>
        <v/>
      </c>
      <c r="F200" s="6"/>
      <c r="G200">
        <v>1021.950012</v>
      </c>
      <c r="H200" s="9">
        <f t="shared" si="35"/>
        <v>-1</v>
      </c>
      <c r="I200" s="10" t="str">
        <f t="shared" si="36"/>
        <v/>
      </c>
      <c r="J200" s="6"/>
      <c r="K200">
        <v>206.66000399999999</v>
      </c>
      <c r="L200" s="9">
        <f t="shared" si="37"/>
        <v>-2.1291154141272065E-3</v>
      </c>
      <c r="M200" s="10">
        <f t="shared" si="41"/>
        <v>-2.1291154141272065E-3</v>
      </c>
      <c r="N200" s="6"/>
      <c r="O200">
        <v>102.199997</v>
      </c>
      <c r="P200" s="9">
        <f t="shared" si="38"/>
        <v>2.4755441039787902E-2</v>
      </c>
      <c r="Q200" s="10">
        <f t="shared" si="39"/>
        <v>2.4755441039787902E-2</v>
      </c>
      <c r="R200" s="6"/>
      <c r="S200">
        <v>6521.0698240000002</v>
      </c>
      <c r="T200" s="28">
        <f t="shared" si="42"/>
        <v>9.0506652425011557E-3</v>
      </c>
      <c r="V200" s="6"/>
      <c r="W200">
        <v>73.870002999999997</v>
      </c>
      <c r="X200" s="27">
        <f t="shared" si="43"/>
        <v>-1.245439234651176E-2</v>
      </c>
      <c r="Y200" s="26">
        <f t="shared" si="44"/>
        <v>-1.245439234651176E-2</v>
      </c>
      <c r="Z200" s="6"/>
      <c r="AA200" t="s">
        <v>42</v>
      </c>
      <c r="AB200" s="27">
        <f t="shared" si="45"/>
        <v>-1</v>
      </c>
      <c r="AC200" s="26" t="str">
        <f t="shared" si="46"/>
        <v/>
      </c>
      <c r="AD200" s="6"/>
      <c r="AE200">
        <v>1832.079956</v>
      </c>
      <c r="AF200" s="27">
        <f t="shared" si="47"/>
        <v>1.7570228796280708E-2</v>
      </c>
      <c r="AG200" s="27">
        <f t="shared" si="48"/>
        <v>1.7570228796280708E-2</v>
      </c>
      <c r="AH200" s="6"/>
      <c r="AI200">
        <v>33.955897999999998</v>
      </c>
      <c r="AJ200" s="27">
        <f t="shared" si="49"/>
        <v>-1.3499775502918461E-2</v>
      </c>
      <c r="AK200" s="27">
        <f t="shared" si="50"/>
        <v>-1.3499775502918461E-2</v>
      </c>
    </row>
    <row r="201" spans="1:37" ht="14.5" x14ac:dyDescent="0.35">
      <c r="A201" s="1">
        <v>44917</v>
      </c>
      <c r="B201" t="s">
        <v>42</v>
      </c>
      <c r="D201" s="12">
        <f t="shared" si="40"/>
        <v>-1</v>
      </c>
      <c r="E201" s="13" t="str">
        <f t="shared" si="34"/>
        <v/>
      </c>
      <c r="F201" s="6"/>
      <c r="G201" t="s">
        <v>42</v>
      </c>
      <c r="H201" s="9">
        <f t="shared" si="35"/>
        <v>-1</v>
      </c>
      <c r="I201" s="10" t="str">
        <f t="shared" si="36"/>
        <v/>
      </c>
      <c r="J201" s="6"/>
      <c r="K201">
        <v>206.220001</v>
      </c>
      <c r="L201" s="9">
        <f t="shared" si="37"/>
        <v>-1.0425729752566495E-2</v>
      </c>
      <c r="M201" s="10">
        <f t="shared" si="41"/>
        <v>-1.0425729752566495E-2</v>
      </c>
      <c r="N201" s="6"/>
      <c r="O201">
        <v>104.730003</v>
      </c>
      <c r="P201" s="9">
        <f t="shared" si="38"/>
        <v>-8.1161651451494132E-3</v>
      </c>
      <c r="Q201" s="10">
        <f t="shared" si="39"/>
        <v>-8.1161651451494132E-3</v>
      </c>
      <c r="R201" s="6"/>
      <c r="S201">
        <v>6580.0898440000001</v>
      </c>
      <c r="T201" s="28">
        <f t="shared" si="42"/>
        <v>1.2235433847975862E-2</v>
      </c>
      <c r="V201" s="6"/>
      <c r="W201">
        <v>72.949996999999996</v>
      </c>
      <c r="X201" s="27">
        <f t="shared" si="43"/>
        <v>1.5901357747828294E-2</v>
      </c>
      <c r="Y201" s="26">
        <f t="shared" si="44"/>
        <v>1.5901357747828294E-2</v>
      </c>
      <c r="Z201" s="6"/>
      <c r="AA201">
        <v>423.88000499999998</v>
      </c>
      <c r="AB201" s="27">
        <f t="shared" si="45"/>
        <v>-1</v>
      </c>
      <c r="AC201" s="26" t="str">
        <f t="shared" si="46"/>
        <v/>
      </c>
      <c r="AD201" s="6"/>
      <c r="AE201">
        <v>1864.2700199999999</v>
      </c>
      <c r="AF201" s="27">
        <f t="shared" si="47"/>
        <v>-1.9203253078113623E-2</v>
      </c>
      <c r="AG201" s="27">
        <f t="shared" si="48"/>
        <v>-1.9203253078113623E-2</v>
      </c>
      <c r="AH201" s="6"/>
      <c r="AI201">
        <v>33.497501</v>
      </c>
      <c r="AJ201" s="27">
        <f t="shared" si="49"/>
        <v>2.9222985917666023E-2</v>
      </c>
      <c r="AK201" s="27">
        <f t="shared" si="50"/>
        <v>2.9222985917666023E-2</v>
      </c>
    </row>
    <row r="202" spans="1:37" ht="14.5" x14ac:dyDescent="0.35">
      <c r="A202" s="1">
        <v>44918</v>
      </c>
      <c r="B202">
        <v>53.615200000000002</v>
      </c>
      <c r="D202" s="12">
        <f t="shared" si="40"/>
        <v>-5.0545367731546912E-4</v>
      </c>
      <c r="E202" s="13">
        <f t="shared" si="34"/>
        <v>-5.0545367731546912E-4</v>
      </c>
      <c r="F202" s="6"/>
      <c r="G202">
        <v>1019.320007</v>
      </c>
      <c r="H202" s="9">
        <f t="shared" si="35"/>
        <v>-2.3544127295838934E-4</v>
      </c>
      <c r="I202" s="10">
        <f t="shared" si="36"/>
        <v>-2.3544127295838934E-4</v>
      </c>
      <c r="J202" s="6"/>
      <c r="K202">
        <v>204.070007</v>
      </c>
      <c r="L202" s="9">
        <f t="shared" si="37"/>
        <v>1.7395932171453226E-2</v>
      </c>
      <c r="M202" s="10">
        <f t="shared" si="41"/>
        <v>1.7395932171453226E-2</v>
      </c>
      <c r="N202" s="6"/>
      <c r="O202">
        <v>103.879997</v>
      </c>
      <c r="P202" s="9">
        <f t="shared" si="38"/>
        <v>7.4124472683609879E-3</v>
      </c>
      <c r="Q202" s="10">
        <f t="shared" si="39"/>
        <v>7.4124472683609879E-3</v>
      </c>
      <c r="R202" s="6"/>
      <c r="S202">
        <v>6660.6000979999999</v>
      </c>
      <c r="T202" s="28">
        <f t="shared" si="42"/>
        <v>1.2596447882405222E-2</v>
      </c>
      <c r="V202" s="6"/>
      <c r="W202">
        <v>74.110000999999997</v>
      </c>
      <c r="X202" s="27">
        <f t="shared" si="43"/>
        <v>-2.4288354820018163E-3</v>
      </c>
      <c r="Y202" s="26">
        <f t="shared" si="44"/>
        <v>-2.4288354820018163E-3</v>
      </c>
      <c r="Z202" s="6"/>
      <c r="AA202" t="s">
        <v>42</v>
      </c>
      <c r="AB202" s="27">
        <f t="shared" si="45"/>
        <v>-1</v>
      </c>
      <c r="AC202" s="26" t="str">
        <f t="shared" si="46"/>
        <v/>
      </c>
      <c r="AD202" s="6"/>
      <c r="AE202">
        <v>1828.469971</v>
      </c>
      <c r="AF202" s="27">
        <f t="shared" si="47"/>
        <v>-2.5702965181482155E-4</v>
      </c>
      <c r="AG202" s="27">
        <f t="shared" si="48"/>
        <v>-2.5702965181482155E-4</v>
      </c>
      <c r="AH202" s="6"/>
      <c r="AI202">
        <v>34.476398000000003</v>
      </c>
      <c r="AJ202" s="27">
        <f t="shared" si="49"/>
        <v>4.8154682516424408E-4</v>
      </c>
      <c r="AK202" s="27">
        <f t="shared" si="50"/>
        <v>4.8154682516424408E-4</v>
      </c>
    </row>
    <row r="203" spans="1:37" ht="14.5" x14ac:dyDescent="0.35">
      <c r="A203" s="1">
        <v>44922</v>
      </c>
      <c r="B203">
        <v>53.588099999999997</v>
      </c>
      <c r="D203" s="12">
        <f t="shared" si="40"/>
        <v>5.4116492281008277E-5</v>
      </c>
      <c r="E203" s="13">
        <f t="shared" si="34"/>
        <v>5.4116492281008277E-5</v>
      </c>
      <c r="F203" s="6"/>
      <c r="G203">
        <v>1019.080017</v>
      </c>
      <c r="H203" s="9">
        <f t="shared" si="35"/>
        <v>7.0649113709388611E-4</v>
      </c>
      <c r="I203" s="10">
        <f t="shared" si="36"/>
        <v>7.0649113709388611E-4</v>
      </c>
      <c r="J203" s="6"/>
      <c r="K203">
        <v>207.61999499999999</v>
      </c>
      <c r="L203" s="9">
        <f t="shared" si="37"/>
        <v>-6.4059437049884286E-3</v>
      </c>
      <c r="M203" s="10">
        <f t="shared" si="41"/>
        <v>-6.4059437049884286E-3</v>
      </c>
      <c r="N203" s="6"/>
      <c r="O203">
        <v>104.650002</v>
      </c>
      <c r="P203" s="9">
        <f t="shared" si="38"/>
        <v>-2.7711514042780784E-3</v>
      </c>
      <c r="Q203" s="10">
        <f t="shared" si="39"/>
        <v>-2.7711514042780784E-3</v>
      </c>
      <c r="R203" s="6"/>
      <c r="S203">
        <v>6744.5</v>
      </c>
      <c r="T203" s="28">
        <f t="shared" si="42"/>
        <v>4.2167604714952386E-3</v>
      </c>
      <c r="V203" s="6"/>
      <c r="W203">
        <v>73.930000000000007</v>
      </c>
      <c r="X203" s="27">
        <f t="shared" si="43"/>
        <v>-6.0867983227378651E-3</v>
      </c>
      <c r="Y203" s="26">
        <f t="shared" si="44"/>
        <v>-6.0867983227378651E-3</v>
      </c>
      <c r="Z203" s="6"/>
      <c r="AA203">
        <v>426.23001099999999</v>
      </c>
      <c r="AB203" s="27">
        <f t="shared" si="45"/>
        <v>1.0557679853284662E-2</v>
      </c>
      <c r="AC203" s="26">
        <f t="shared" si="46"/>
        <v>1.0557679853284662E-2</v>
      </c>
      <c r="AD203" s="6"/>
      <c r="AE203">
        <v>1828</v>
      </c>
      <c r="AF203" s="27">
        <f t="shared" si="47"/>
        <v>-1.2746197483588592E-2</v>
      </c>
      <c r="AG203" s="27">
        <f t="shared" si="48"/>
        <v>-1.2746197483588592E-2</v>
      </c>
      <c r="AH203" s="6"/>
      <c r="AI203">
        <v>34.493000000000002</v>
      </c>
      <c r="AJ203" s="27">
        <f t="shared" si="49"/>
        <v>-3.9196358681472948E-3</v>
      </c>
      <c r="AK203" s="27">
        <f t="shared" si="50"/>
        <v>-3.9196358681472948E-3</v>
      </c>
    </row>
    <row r="204" spans="1:37" ht="14.5" x14ac:dyDescent="0.35">
      <c r="A204" s="1">
        <v>44923</v>
      </c>
      <c r="B204">
        <v>53.591000000000001</v>
      </c>
      <c r="D204" s="12">
        <f t="shared" si="40"/>
        <v>-1</v>
      </c>
      <c r="E204" s="13" t="str">
        <f t="shared" si="34"/>
        <v/>
      </c>
      <c r="F204" s="6"/>
      <c r="G204">
        <v>1019.799988</v>
      </c>
      <c r="H204" s="9">
        <f t="shared" si="35"/>
        <v>-3.6379300290794092E-3</v>
      </c>
      <c r="I204" s="10">
        <f t="shared" si="36"/>
        <v>-3.6379300290794092E-3</v>
      </c>
      <c r="J204" s="6"/>
      <c r="K204">
        <v>206.28999300000001</v>
      </c>
      <c r="L204" s="9">
        <f t="shared" si="37"/>
        <v>-2.9083815035085023E-4</v>
      </c>
      <c r="M204" s="10">
        <f t="shared" si="41"/>
        <v>-2.9083815035085023E-4</v>
      </c>
      <c r="N204" s="6"/>
      <c r="O204">
        <v>104.360001</v>
      </c>
      <c r="P204" s="9">
        <f t="shared" si="38"/>
        <v>5.1744058530624557E-3</v>
      </c>
      <c r="Q204" s="10">
        <f t="shared" si="39"/>
        <v>5.1744058530624557E-3</v>
      </c>
      <c r="R204" s="6"/>
      <c r="S204">
        <v>6772.9399409999996</v>
      </c>
      <c r="T204" s="28">
        <f t="shared" si="42"/>
        <v>1.3088836424394989E-2</v>
      </c>
      <c r="V204" s="6"/>
      <c r="W204">
        <v>73.480002999999996</v>
      </c>
      <c r="X204" s="27">
        <f t="shared" si="43"/>
        <v>9.1181134001859562E-3</v>
      </c>
      <c r="Y204" s="26">
        <f t="shared" si="44"/>
        <v>9.1181134001859562E-3</v>
      </c>
      <c r="Z204" s="6"/>
      <c r="AA204">
        <v>430.73001099999999</v>
      </c>
      <c r="AB204" s="27">
        <f t="shared" si="45"/>
        <v>3.9467461207388079E-3</v>
      </c>
      <c r="AC204" s="26">
        <f t="shared" si="46"/>
        <v>3.9467461207388079E-3</v>
      </c>
      <c r="AD204" s="6"/>
      <c r="AE204">
        <v>1804.6999510000001</v>
      </c>
      <c r="AF204" s="27">
        <f t="shared" si="47"/>
        <v>-1.0151242033252581E-2</v>
      </c>
      <c r="AG204" s="27">
        <f t="shared" si="48"/>
        <v>-1.0151242033252581E-2</v>
      </c>
      <c r="AH204" s="6"/>
      <c r="AI204">
        <v>34.357799999999997</v>
      </c>
      <c r="AJ204" s="27">
        <f t="shared" si="49"/>
        <v>1.2061365978031266E-2</v>
      </c>
      <c r="AK204" s="27">
        <f t="shared" si="50"/>
        <v>1.2061365978031266E-2</v>
      </c>
    </row>
    <row r="205" spans="1:37" ht="14.5" x14ac:dyDescent="0.35">
      <c r="A205" s="1">
        <v>44924</v>
      </c>
      <c r="B205" t="s">
        <v>42</v>
      </c>
      <c r="D205" s="12">
        <f t="shared" si="40"/>
        <v>-1</v>
      </c>
      <c r="E205" s="13" t="str">
        <f t="shared" si="34"/>
        <v/>
      </c>
      <c r="F205" s="6"/>
      <c r="G205">
        <v>1016.090027</v>
      </c>
      <c r="H205" s="9">
        <f t="shared" si="35"/>
        <v>4.6252889755012507E-4</v>
      </c>
      <c r="I205" s="10">
        <f t="shared" si="36"/>
        <v>4.6252889755012507E-4</v>
      </c>
      <c r="J205" s="6"/>
      <c r="K205">
        <v>206.229996</v>
      </c>
      <c r="L205" s="9">
        <f t="shared" si="37"/>
        <v>9.1645203736511194E-3</v>
      </c>
      <c r="M205" s="10">
        <f t="shared" si="41"/>
        <v>9.1645203736511194E-3</v>
      </c>
      <c r="N205" s="6"/>
      <c r="O205">
        <v>104.900002</v>
      </c>
      <c r="P205" s="9">
        <f t="shared" si="38"/>
        <v>1.3822649879453756E-2</v>
      </c>
      <c r="Q205" s="10">
        <f t="shared" si="39"/>
        <v>1.3822649879453756E-2</v>
      </c>
      <c r="R205" s="6"/>
      <c r="S205">
        <v>6861.5898440000001</v>
      </c>
      <c r="T205" s="28">
        <f t="shared" si="42"/>
        <v>2.9759753153791165E-3</v>
      </c>
      <c r="V205" s="6"/>
      <c r="W205">
        <v>74.150002000000001</v>
      </c>
      <c r="X205" s="27">
        <f t="shared" si="43"/>
        <v>-2.548887321675326E-2</v>
      </c>
      <c r="Y205" s="26">
        <f t="shared" si="44"/>
        <v>-2.548887321675326E-2</v>
      </c>
      <c r="Z205" s="6"/>
      <c r="AA205">
        <v>432.42999300000002</v>
      </c>
      <c r="AB205" s="27">
        <f t="shared" si="45"/>
        <v>-1.6835092657414334E-2</v>
      </c>
      <c r="AC205" s="26">
        <f t="shared" si="46"/>
        <v>-1.6835092657414334E-2</v>
      </c>
      <c r="AD205" s="6"/>
      <c r="AE205">
        <v>1786.380005</v>
      </c>
      <c r="AF205" s="27">
        <f t="shared" si="47"/>
        <v>2.2811495810489663E-2</v>
      </c>
      <c r="AG205" s="27">
        <f t="shared" si="48"/>
        <v>2.2811495810489663E-2</v>
      </c>
      <c r="AH205" s="6"/>
      <c r="AI205">
        <v>34.772202</v>
      </c>
      <c r="AJ205" s="27">
        <f t="shared" si="49"/>
        <v>-1.6018628903628297E-2</v>
      </c>
      <c r="AK205" s="27">
        <f t="shared" si="50"/>
        <v>-1.6018628903628297E-2</v>
      </c>
    </row>
    <row r="206" spans="1:37" ht="14.5" x14ac:dyDescent="0.35">
      <c r="A206" s="1">
        <v>44925</v>
      </c>
      <c r="B206">
        <v>53.634998000000003</v>
      </c>
      <c r="D206" s="12">
        <f t="shared" si="40"/>
        <v>5.9681180560445305E-5</v>
      </c>
      <c r="E206" s="13">
        <f t="shared" ref="E206:E264" si="51">IF(D206=-1,"",D206)</f>
        <v>5.9681180560445305E-5</v>
      </c>
      <c r="F206" s="6"/>
      <c r="G206">
        <v>1016.559998</v>
      </c>
      <c r="H206" s="9">
        <f t="shared" ref="H206:H263" si="52">IFERROR((G207-G206)/G206,-100%)</f>
        <v>-1</v>
      </c>
      <c r="I206" s="10" t="str">
        <f t="shared" ref="I206:I264" si="53">IF(H206=-1,"",H206)</f>
        <v/>
      </c>
      <c r="J206" s="6"/>
      <c r="K206">
        <v>208.11999499999999</v>
      </c>
      <c r="L206" s="9">
        <f t="shared" ref="L206:L263" si="54">IFERROR((K207-K206)/K206,-100%)</f>
        <v>-1.5952297135121425E-2</v>
      </c>
      <c r="M206" s="10">
        <f t="shared" si="41"/>
        <v>-1.5952297135121425E-2</v>
      </c>
      <c r="N206" s="6"/>
      <c r="O206">
        <v>106.349998</v>
      </c>
      <c r="P206" s="9">
        <f t="shared" ref="P206:P262" si="55">IFERROR((O207-O206)/O206,-100%)</f>
        <v>-1.1377517844429074E-2</v>
      </c>
      <c r="Q206" s="10">
        <f t="shared" ref="Q206:Q264" si="56">IF(P206=-1,"",P206)</f>
        <v>-1.1377517844429074E-2</v>
      </c>
      <c r="R206" s="6"/>
      <c r="S206">
        <v>6882.0097660000001</v>
      </c>
      <c r="T206" s="28">
        <f t="shared" si="42"/>
        <v>-4.2279335527467744E-4</v>
      </c>
      <c r="V206" s="6"/>
      <c r="W206">
        <v>72.260002</v>
      </c>
      <c r="X206" s="27">
        <f t="shared" si="43"/>
        <v>4.6637073162549912E-2</v>
      </c>
      <c r="Y206" s="26">
        <f t="shared" si="44"/>
        <v>4.6637073162549912E-2</v>
      </c>
      <c r="Z206" s="6"/>
      <c r="AA206">
        <v>425.14999399999999</v>
      </c>
      <c r="AB206" s="27">
        <f t="shared" si="45"/>
        <v>-1</v>
      </c>
      <c r="AC206" s="26" t="str">
        <f t="shared" si="46"/>
        <v/>
      </c>
      <c r="AD206" s="6"/>
      <c r="AE206">
        <v>1827.130005</v>
      </c>
      <c r="AF206" s="27">
        <f t="shared" si="47"/>
        <v>-5.0899766160864644E-3</v>
      </c>
      <c r="AG206" s="27">
        <f t="shared" si="48"/>
        <v>-5.0899766160864644E-3</v>
      </c>
      <c r="AH206" s="6"/>
      <c r="AI206">
        <v>34.215198999999998</v>
      </c>
      <c r="AJ206" s="27">
        <f t="shared" si="49"/>
        <v>3.160297270227775E-2</v>
      </c>
      <c r="AK206" s="27">
        <f t="shared" si="50"/>
        <v>3.160297270227775E-2</v>
      </c>
    </row>
    <row r="207" spans="1:37" ht="14.5" x14ac:dyDescent="0.35">
      <c r="A207" s="1">
        <v>44928</v>
      </c>
      <c r="B207">
        <v>53.638199</v>
      </c>
      <c r="D207" s="12">
        <f t="shared" ref="D207:D263" si="57">IFERROR((B208-B207)/B207,-100%)</f>
        <v>2.9866774609608479E-5</v>
      </c>
      <c r="E207" s="13">
        <f t="shared" si="51"/>
        <v>2.9866774609608479E-5</v>
      </c>
      <c r="F207" s="6"/>
      <c r="G207" t="s">
        <v>42</v>
      </c>
      <c r="H207" s="9">
        <f t="shared" si="52"/>
        <v>-1</v>
      </c>
      <c r="I207" s="10" t="str">
        <f t="shared" si="53"/>
        <v/>
      </c>
      <c r="J207" s="6"/>
      <c r="K207">
        <v>204.800003</v>
      </c>
      <c r="L207" s="9">
        <f t="shared" si="54"/>
        <v>2.3046879545211708E-2</v>
      </c>
      <c r="M207" s="10">
        <f t="shared" ref="M207:M264" si="58">IF(L207=-1,"",L207)</f>
        <v>2.3046879545211708E-2</v>
      </c>
      <c r="N207" s="6"/>
      <c r="O207">
        <v>105.139999</v>
      </c>
      <c r="P207" s="9">
        <f t="shared" si="55"/>
        <v>1.9688035188206471E-2</v>
      </c>
      <c r="Q207" s="10">
        <f t="shared" si="56"/>
        <v>1.9688035188206471E-2</v>
      </c>
      <c r="R207" s="6"/>
      <c r="S207">
        <v>6879.1000979999999</v>
      </c>
      <c r="T207" s="28">
        <f t="shared" si="42"/>
        <v>9.919865248048932E-3</v>
      </c>
      <c r="V207" s="6"/>
      <c r="W207">
        <v>75.629997000000003</v>
      </c>
      <c r="X207" s="27">
        <f t="shared" si="43"/>
        <v>1.6131178743799188E-2</v>
      </c>
      <c r="Y207" s="26">
        <f t="shared" si="44"/>
        <v>1.6131178743799188E-2</v>
      </c>
      <c r="Z207" s="6"/>
      <c r="AA207" t="s">
        <v>42</v>
      </c>
      <c r="AB207" s="27">
        <f t="shared" si="45"/>
        <v>-1</v>
      </c>
      <c r="AC207" s="26" t="str">
        <f t="shared" si="46"/>
        <v/>
      </c>
      <c r="AD207" s="6"/>
      <c r="AE207">
        <v>1817.829956</v>
      </c>
      <c r="AF207" s="27">
        <f t="shared" si="47"/>
        <v>2.0299280401999782E-3</v>
      </c>
      <c r="AG207" s="27">
        <f t="shared" si="48"/>
        <v>2.0299280401999782E-3</v>
      </c>
      <c r="AH207" s="6"/>
      <c r="AI207">
        <v>35.296500999999999</v>
      </c>
      <c r="AJ207" s="27">
        <f t="shared" si="49"/>
        <v>8.5673931248879658E-3</v>
      </c>
      <c r="AK207" s="27">
        <f t="shared" si="50"/>
        <v>8.5673931248879658E-3</v>
      </c>
    </row>
    <row r="208" spans="1:37" ht="14.5" x14ac:dyDescent="0.35">
      <c r="A208" s="1">
        <v>44929</v>
      </c>
      <c r="B208">
        <v>53.639800999999999</v>
      </c>
      <c r="D208" s="12">
        <f t="shared" si="57"/>
        <v>1.1741281441370421E-4</v>
      </c>
      <c r="E208" s="13">
        <f t="shared" si="51"/>
        <v>1.1741281441370421E-4</v>
      </c>
      <c r="F208" s="6"/>
      <c r="G208">
        <v>1015.809998</v>
      </c>
      <c r="H208" s="9">
        <f t="shared" si="52"/>
        <v>3.6325710588251659E-3</v>
      </c>
      <c r="I208" s="10">
        <f t="shared" si="53"/>
        <v>3.6325710588251659E-3</v>
      </c>
      <c r="J208" s="6"/>
      <c r="K208">
        <v>209.520004</v>
      </c>
      <c r="L208" s="9">
        <f t="shared" si="54"/>
        <v>5.4887074171685885E-3</v>
      </c>
      <c r="M208" s="10">
        <f t="shared" si="58"/>
        <v>5.4887074171685885E-3</v>
      </c>
      <c r="N208" s="6"/>
      <c r="O208">
        <v>107.209999</v>
      </c>
      <c r="P208" s="9">
        <f t="shared" si="55"/>
        <v>1.4364341146948465E-2</v>
      </c>
      <c r="Q208" s="10">
        <f t="shared" si="56"/>
        <v>1.4364341146948465E-2</v>
      </c>
      <c r="R208" s="6"/>
      <c r="S208">
        <v>6947.3398440000001</v>
      </c>
      <c r="T208" s="28">
        <f t="shared" ref="T208:T263" si="59">IFERROR((S209-S208)/S208,-100%)</f>
        <v>6.0814644092139509E-3</v>
      </c>
      <c r="V208" s="6"/>
      <c r="W208">
        <v>76.849997999999999</v>
      </c>
      <c r="X208" s="27">
        <f t="shared" ref="X208:X264" si="60">IFERROR((W209-W208)/W208,-100%)</f>
        <v>2.6545231660253313E-2</v>
      </c>
      <c r="Y208" s="26">
        <f t="shared" ref="Y208:Y264" si="61">IF(X208=-1,"",X208)</f>
        <v>2.6545231660253313E-2</v>
      </c>
      <c r="Z208" s="6"/>
      <c r="AA208">
        <v>444.17001299999998</v>
      </c>
      <c r="AB208" s="27">
        <f t="shared" ref="AB208:AB264" si="62">IFERROR((AA209-AA208)/AA208,-100%)</f>
        <v>-5.808624905977158E-3</v>
      </c>
      <c r="AC208" s="26">
        <f t="shared" ref="AC208:AC264" si="63">IF(AB208=-1,"",AB208)</f>
        <v>-5.808624905977158E-3</v>
      </c>
      <c r="AD208" s="6"/>
      <c r="AE208">
        <v>1821.5200199999999</v>
      </c>
      <c r="AF208" s="27">
        <f t="shared" ref="AF208:AF263" si="64">IFERROR((AE209-AE208)/AE208,-100%)</f>
        <v>8.7509007998715759E-3</v>
      </c>
      <c r="AG208" s="27">
        <f t="shared" ref="AG208:AG264" si="65">IF(AF208=-1,"",AF208)</f>
        <v>8.7509007998715759E-3</v>
      </c>
      <c r="AH208" s="6"/>
      <c r="AI208">
        <v>35.5989</v>
      </c>
      <c r="AJ208" s="27">
        <f t="shared" ref="AJ208:AJ264" si="66">IFERROR((AI209-AI208)/AI208,-100%)</f>
        <v>9.9890165145552403E-3</v>
      </c>
      <c r="AK208" s="27">
        <f t="shared" ref="AK208:AK264" si="67">IF(AJ208=-1,"",AJ208)</f>
        <v>9.9890165145552403E-3</v>
      </c>
    </row>
    <row r="209" spans="1:37" ht="14.5" x14ac:dyDescent="0.35">
      <c r="A209" s="1">
        <v>44930</v>
      </c>
      <c r="B209">
        <v>53.646099</v>
      </c>
      <c r="D209" s="12">
        <f t="shared" si="57"/>
        <v>-1</v>
      </c>
      <c r="E209" s="13" t="str">
        <f t="shared" si="51"/>
        <v/>
      </c>
      <c r="F209" s="6"/>
      <c r="G209">
        <v>1019.5</v>
      </c>
      <c r="H209" s="9">
        <f t="shared" si="52"/>
        <v>-1</v>
      </c>
      <c r="I209" s="10" t="str">
        <f t="shared" si="53"/>
        <v/>
      </c>
      <c r="J209" s="6"/>
      <c r="K209">
        <v>210.66999799999999</v>
      </c>
      <c r="L209" s="9">
        <f t="shared" si="54"/>
        <v>3.5126311626014917E-3</v>
      </c>
      <c r="M209" s="10">
        <f t="shared" si="58"/>
        <v>3.5126311626014917E-3</v>
      </c>
      <c r="N209" s="6"/>
      <c r="O209">
        <v>108.75</v>
      </c>
      <c r="P209" s="9">
        <f t="shared" si="55"/>
        <v>1.7563255172413798E-2</v>
      </c>
      <c r="Q209" s="10">
        <f t="shared" si="56"/>
        <v>1.7563255172413798E-2</v>
      </c>
      <c r="R209" s="6"/>
      <c r="S209">
        <v>6989.5898440000001</v>
      </c>
      <c r="T209" s="28">
        <f t="shared" si="59"/>
        <v>6.7085676050435764E-3</v>
      </c>
      <c r="V209" s="6"/>
      <c r="W209">
        <v>78.889999000000003</v>
      </c>
      <c r="X209" s="27">
        <f t="shared" si="60"/>
        <v>3.6126239524987148E-2</v>
      </c>
      <c r="Y209" s="26">
        <f t="shared" si="61"/>
        <v>3.6126239524987148E-2</v>
      </c>
      <c r="Z209" s="6"/>
      <c r="AA209">
        <v>441.58999599999999</v>
      </c>
      <c r="AB209" s="27">
        <f t="shared" si="62"/>
        <v>1.3043796399771752E-2</v>
      </c>
      <c r="AC209" s="26">
        <f t="shared" si="63"/>
        <v>1.3043796399771752E-2</v>
      </c>
      <c r="AD209" s="6"/>
      <c r="AE209">
        <v>1837.459961</v>
      </c>
      <c r="AF209" s="27">
        <f t="shared" si="64"/>
        <v>7.4614322439649286E-3</v>
      </c>
      <c r="AG209" s="27">
        <f t="shared" si="65"/>
        <v>7.4614322439649286E-3</v>
      </c>
      <c r="AH209" s="6"/>
      <c r="AI209">
        <v>35.954498000000001</v>
      </c>
      <c r="AJ209" s="27">
        <f t="shared" si="66"/>
        <v>1.5224854481350237E-2</v>
      </c>
      <c r="AK209" s="27">
        <f t="shared" si="67"/>
        <v>1.5224854481350237E-2</v>
      </c>
    </row>
    <row r="210" spans="1:37" ht="14.5" x14ac:dyDescent="0.35">
      <c r="A210" s="1">
        <v>44931</v>
      </c>
      <c r="B210" t="s">
        <v>42</v>
      </c>
      <c r="D210" s="12">
        <f t="shared" si="57"/>
        <v>-1</v>
      </c>
      <c r="E210" s="13" t="str">
        <f t="shared" si="51"/>
        <v/>
      </c>
      <c r="F210" s="6"/>
      <c r="G210" t="s">
        <v>42</v>
      </c>
      <c r="H210" s="9">
        <f t="shared" si="52"/>
        <v>-1</v>
      </c>
      <c r="I210" s="10" t="str">
        <f t="shared" si="53"/>
        <v/>
      </c>
      <c r="J210" s="6"/>
      <c r="K210">
        <v>211.41000399999999</v>
      </c>
      <c r="L210" s="9">
        <f t="shared" si="54"/>
        <v>1.1115798474702348E-2</v>
      </c>
      <c r="M210" s="10">
        <f t="shared" si="58"/>
        <v>1.1115798474702348E-2</v>
      </c>
      <c r="N210" s="6"/>
      <c r="O210">
        <v>110.660004</v>
      </c>
      <c r="P210" s="9">
        <f t="shared" si="55"/>
        <v>-1.1747722329740778E-2</v>
      </c>
      <c r="Q210" s="10">
        <f t="shared" si="56"/>
        <v>-1.1747722329740778E-2</v>
      </c>
      <c r="R210" s="6"/>
      <c r="S210">
        <v>7036.4799800000001</v>
      </c>
      <c r="T210" s="28">
        <f t="shared" si="59"/>
        <v>6.1135113184795375E-5</v>
      </c>
      <c r="V210" s="6"/>
      <c r="W210">
        <v>81.739998</v>
      </c>
      <c r="X210" s="27">
        <f t="shared" si="60"/>
        <v>1.7249865849030249E-2</v>
      </c>
      <c r="Y210" s="26">
        <f t="shared" si="61"/>
        <v>1.7249865849030249E-2</v>
      </c>
      <c r="Z210" s="6"/>
      <c r="AA210">
        <v>447.35000600000001</v>
      </c>
      <c r="AB210" s="27">
        <f t="shared" si="62"/>
        <v>-1</v>
      </c>
      <c r="AC210" s="26" t="str">
        <f t="shared" si="63"/>
        <v/>
      </c>
      <c r="AD210" s="6"/>
      <c r="AE210">
        <v>1851.170044</v>
      </c>
      <c r="AF210" s="27">
        <f t="shared" si="64"/>
        <v>-1.1517077034118207E-2</v>
      </c>
      <c r="AG210" s="27">
        <f t="shared" si="65"/>
        <v>-1.1517077034118207E-2</v>
      </c>
      <c r="AH210" s="6"/>
      <c r="AI210">
        <v>36.501899999999999</v>
      </c>
      <c r="AJ210" s="27">
        <f t="shared" si="66"/>
        <v>5.8161082025867577E-3</v>
      </c>
      <c r="AK210" s="27">
        <f t="shared" si="67"/>
        <v>5.8161082025867577E-3</v>
      </c>
    </row>
    <row r="211" spans="1:37" ht="14.5" x14ac:dyDescent="0.35">
      <c r="A211" s="1">
        <v>44932</v>
      </c>
      <c r="B211">
        <v>53.658199000000003</v>
      </c>
      <c r="D211" s="12">
        <f t="shared" si="57"/>
        <v>6.3345398528836204E-5</v>
      </c>
      <c r="E211" s="13">
        <f t="shared" si="51"/>
        <v>6.3345398528836204E-5</v>
      </c>
      <c r="F211" s="6"/>
      <c r="G211">
        <v>1026.790039</v>
      </c>
      <c r="H211" s="9">
        <f t="shared" si="52"/>
        <v>-2.2397957836058506E-4</v>
      </c>
      <c r="I211" s="10">
        <f t="shared" si="53"/>
        <v>-2.2397957836058506E-4</v>
      </c>
      <c r="J211" s="6"/>
      <c r="K211">
        <v>213.759995</v>
      </c>
      <c r="L211" s="9">
        <f t="shared" si="54"/>
        <v>2.9940073679361233E-3</v>
      </c>
      <c r="M211" s="10">
        <f t="shared" si="58"/>
        <v>2.9940073679361233E-3</v>
      </c>
      <c r="N211" s="6"/>
      <c r="O211">
        <v>109.360001</v>
      </c>
      <c r="P211" s="9">
        <f t="shared" si="55"/>
        <v>6.8580833315829981E-3</v>
      </c>
      <c r="Q211" s="10">
        <f t="shared" si="56"/>
        <v>6.8580833315829981E-3</v>
      </c>
      <c r="R211" s="6"/>
      <c r="S211">
        <v>7036.9101559999999</v>
      </c>
      <c r="T211" s="28">
        <f t="shared" si="59"/>
        <v>5.2167727292496179E-3</v>
      </c>
      <c r="V211" s="6"/>
      <c r="W211">
        <v>83.150002000000001</v>
      </c>
      <c r="X211" s="27">
        <f t="shared" si="60"/>
        <v>3.367384164344412E-3</v>
      </c>
      <c r="Y211" s="26">
        <f t="shared" si="61"/>
        <v>3.367384164344412E-3</v>
      </c>
      <c r="Z211" s="6"/>
      <c r="AA211" t="s">
        <v>42</v>
      </c>
      <c r="AB211" s="27">
        <f t="shared" si="62"/>
        <v>-1</v>
      </c>
      <c r="AC211" s="26" t="str">
        <f t="shared" si="63"/>
        <v/>
      </c>
      <c r="AD211" s="6"/>
      <c r="AE211">
        <v>1829.849976</v>
      </c>
      <c r="AF211" s="27">
        <f t="shared" si="64"/>
        <v>1.7870357367482881E-2</v>
      </c>
      <c r="AG211" s="27">
        <f t="shared" si="65"/>
        <v>1.7870357367482881E-2</v>
      </c>
      <c r="AH211" s="6"/>
      <c r="AI211">
        <v>36.714199000000001</v>
      </c>
      <c r="AJ211" s="27">
        <f t="shared" si="66"/>
        <v>4.6249136471696456E-3</v>
      </c>
      <c r="AK211" s="27">
        <f t="shared" si="67"/>
        <v>4.6249136471696456E-3</v>
      </c>
    </row>
    <row r="212" spans="1:37" ht="14.5" x14ac:dyDescent="0.35">
      <c r="A212" s="1">
        <v>44935</v>
      </c>
      <c r="B212">
        <v>53.661597999999998</v>
      </c>
      <c r="D212" s="12">
        <f t="shared" si="57"/>
        <v>1.2675731348888304E-4</v>
      </c>
      <c r="E212" s="13">
        <f t="shared" si="51"/>
        <v>1.2675731348888304E-4</v>
      </c>
      <c r="F212" s="6"/>
      <c r="G212">
        <v>1026.5600589999999</v>
      </c>
      <c r="H212" s="9">
        <f t="shared" si="52"/>
        <v>2.7079828166196888E-3</v>
      </c>
      <c r="I212" s="10">
        <f t="shared" si="53"/>
        <v>2.7079828166196888E-3</v>
      </c>
      <c r="J212" s="6"/>
      <c r="K212">
        <v>214.39999399999999</v>
      </c>
      <c r="L212" s="9">
        <f t="shared" si="54"/>
        <v>5.8302240437562705E-3</v>
      </c>
      <c r="M212" s="10">
        <f t="shared" si="58"/>
        <v>5.8302240437562705E-3</v>
      </c>
      <c r="N212" s="6"/>
      <c r="O212">
        <v>110.110001</v>
      </c>
      <c r="P212" s="9">
        <f t="shared" si="55"/>
        <v>1.5620751833432428E-2</v>
      </c>
      <c r="Q212" s="10">
        <f t="shared" si="56"/>
        <v>1.5620751833432428E-2</v>
      </c>
      <c r="R212" s="6"/>
      <c r="S212">
        <v>7073.6201170000004</v>
      </c>
      <c r="T212" s="28">
        <f t="shared" si="59"/>
        <v>-3.6727983084025809E-3</v>
      </c>
      <c r="V212" s="6"/>
      <c r="W212">
        <v>83.43</v>
      </c>
      <c r="X212" s="27">
        <f t="shared" si="60"/>
        <v>7.1916456909984034E-3</v>
      </c>
      <c r="Y212" s="26">
        <f t="shared" si="61"/>
        <v>7.1916456909984034E-3</v>
      </c>
      <c r="Z212" s="6"/>
      <c r="AA212">
        <v>454.76998900000001</v>
      </c>
      <c r="AB212" s="27">
        <f t="shared" si="62"/>
        <v>1.5810194546500719E-2</v>
      </c>
      <c r="AC212" s="26">
        <f t="shared" si="63"/>
        <v>1.5810194546500719E-2</v>
      </c>
      <c r="AD212" s="6"/>
      <c r="AE212">
        <v>1862.5500489999999</v>
      </c>
      <c r="AF212" s="27">
        <f t="shared" si="64"/>
        <v>3.3770458964993214E-3</v>
      </c>
      <c r="AG212" s="27">
        <f t="shared" si="65"/>
        <v>3.3770458964993214E-3</v>
      </c>
      <c r="AH212" s="6"/>
      <c r="AI212">
        <v>36.883999000000003</v>
      </c>
      <c r="AJ212" s="27">
        <f t="shared" si="66"/>
        <v>1.6647056085213668E-3</v>
      </c>
      <c r="AK212" s="27">
        <f t="shared" si="67"/>
        <v>1.6647056085213668E-3</v>
      </c>
    </row>
    <row r="213" spans="1:37" ht="14.5" x14ac:dyDescent="0.35">
      <c r="A213" s="1">
        <v>44936</v>
      </c>
      <c r="B213">
        <v>53.668399999999998</v>
      </c>
      <c r="D213" s="12">
        <f t="shared" si="57"/>
        <v>6.5252550849374257E-5</v>
      </c>
      <c r="E213" s="13">
        <f t="shared" si="51"/>
        <v>6.5252550849374257E-5</v>
      </c>
      <c r="F213" s="6"/>
      <c r="G213">
        <v>1029.339966</v>
      </c>
      <c r="H213" s="9">
        <f t="shared" si="52"/>
        <v>-1</v>
      </c>
      <c r="I213" s="10" t="str">
        <f t="shared" si="53"/>
        <v/>
      </c>
      <c r="J213" s="6"/>
      <c r="K213">
        <v>215.64999399999999</v>
      </c>
      <c r="L213" s="9">
        <f t="shared" si="54"/>
        <v>-1</v>
      </c>
      <c r="M213" s="10" t="str">
        <f t="shared" si="58"/>
        <v/>
      </c>
      <c r="N213" s="6"/>
      <c r="O213">
        <v>111.83000199999999</v>
      </c>
      <c r="P213" s="9">
        <f t="shared" si="55"/>
        <v>-1.2608459043039153E-2</v>
      </c>
      <c r="Q213" s="10">
        <f t="shared" si="56"/>
        <v>-1.2608459043039153E-2</v>
      </c>
      <c r="R213" s="6"/>
      <c r="S213">
        <v>7047.6401370000003</v>
      </c>
      <c r="T213" s="28">
        <f t="shared" si="59"/>
        <v>-7.2960481807302071E-3</v>
      </c>
      <c r="V213" s="6"/>
      <c r="W213">
        <v>84.029999000000004</v>
      </c>
      <c r="X213" s="27">
        <f t="shared" si="60"/>
        <v>-8.2113888874377396E-3</v>
      </c>
      <c r="Y213" s="26">
        <f t="shared" si="61"/>
        <v>-8.2113888874377396E-3</v>
      </c>
      <c r="Z213" s="6"/>
      <c r="AA213">
        <v>461.959991</v>
      </c>
      <c r="AB213" s="27">
        <f t="shared" si="62"/>
        <v>1.5477517835521804E-2</v>
      </c>
      <c r="AC213" s="26">
        <f t="shared" si="63"/>
        <v>1.5477517835521804E-2</v>
      </c>
      <c r="AD213" s="6"/>
      <c r="AE213">
        <v>1868.839966</v>
      </c>
      <c r="AF213" s="27">
        <f t="shared" si="64"/>
        <v>1.0049030062320496E-2</v>
      </c>
      <c r="AG213" s="27">
        <f t="shared" si="65"/>
        <v>1.0049030062320496E-2</v>
      </c>
      <c r="AH213" s="6"/>
      <c r="AI213">
        <v>36.945399999999999</v>
      </c>
      <c r="AJ213" s="27">
        <f t="shared" si="66"/>
        <v>-4.7340128947041026E-3</v>
      </c>
      <c r="AK213" s="27">
        <f t="shared" si="67"/>
        <v>-4.7340128947041026E-3</v>
      </c>
    </row>
    <row r="214" spans="1:37" ht="14.5" x14ac:dyDescent="0.35">
      <c r="A214" s="1">
        <v>44937</v>
      </c>
      <c r="B214">
        <v>53.671902000000003</v>
      </c>
      <c r="D214" s="12">
        <f t="shared" si="57"/>
        <v>-1</v>
      </c>
      <c r="E214" s="13" t="str">
        <f t="shared" si="51"/>
        <v/>
      </c>
      <c r="F214" s="6"/>
      <c r="G214" t="s">
        <v>42</v>
      </c>
      <c r="H214" s="9">
        <f t="shared" si="52"/>
        <v>-1</v>
      </c>
      <c r="I214" s="10" t="str">
        <f t="shared" si="53"/>
        <v/>
      </c>
      <c r="J214" s="6"/>
      <c r="K214" t="s">
        <v>42</v>
      </c>
      <c r="L214" s="9">
        <f t="shared" si="54"/>
        <v>-1</v>
      </c>
      <c r="M214" s="10" t="str">
        <f t="shared" si="58"/>
        <v/>
      </c>
      <c r="N214" s="6"/>
      <c r="O214">
        <v>110.41999800000001</v>
      </c>
      <c r="P214" s="9">
        <f t="shared" si="55"/>
        <v>2.7621835312838797E-2</v>
      </c>
      <c r="Q214" s="10">
        <f t="shared" si="56"/>
        <v>2.7621835312838797E-2</v>
      </c>
      <c r="R214" s="6"/>
      <c r="S214">
        <v>6996.2202150000003</v>
      </c>
      <c r="T214" s="28">
        <f t="shared" si="59"/>
        <v>2.6714340637717668E-3</v>
      </c>
      <c r="V214" s="6"/>
      <c r="W214">
        <v>83.339995999999999</v>
      </c>
      <c r="X214" s="27">
        <f t="shared" si="60"/>
        <v>-3.3957213052901988E-2</v>
      </c>
      <c r="Y214" s="26">
        <f t="shared" si="61"/>
        <v>-3.3957213052901988E-2</v>
      </c>
      <c r="Z214" s="6"/>
      <c r="AA214">
        <v>469.10998499999999</v>
      </c>
      <c r="AB214" s="27">
        <f t="shared" si="62"/>
        <v>-3.2060664835347766E-2</v>
      </c>
      <c r="AC214" s="26">
        <f t="shared" si="63"/>
        <v>-3.2060664835347766E-2</v>
      </c>
      <c r="AD214" s="6"/>
      <c r="AE214">
        <v>1887.619995</v>
      </c>
      <c r="AF214" s="27">
        <f t="shared" si="64"/>
        <v>1.2529018055882543E-2</v>
      </c>
      <c r="AG214" s="27">
        <f t="shared" si="65"/>
        <v>1.2529018055882543E-2</v>
      </c>
      <c r="AH214" s="6"/>
      <c r="AI214">
        <v>36.770499999999998</v>
      </c>
      <c r="AJ214" s="27">
        <f t="shared" si="66"/>
        <v>-1.3921540365238417E-2</v>
      </c>
      <c r="AK214" s="27">
        <f t="shared" si="67"/>
        <v>-1.3921540365238417E-2</v>
      </c>
    </row>
    <row r="215" spans="1:37" ht="14.5" x14ac:dyDescent="0.35">
      <c r="A215" s="1">
        <v>44938</v>
      </c>
      <c r="B215" t="s">
        <v>42</v>
      </c>
      <c r="D215" s="12">
        <f t="shared" si="57"/>
        <v>-1</v>
      </c>
      <c r="E215" s="13" t="str">
        <f t="shared" si="51"/>
        <v/>
      </c>
      <c r="F215" s="6"/>
      <c r="G215">
        <v>1032.530029</v>
      </c>
      <c r="H215" s="9">
        <f t="shared" si="52"/>
        <v>1.191230245566013E-3</v>
      </c>
      <c r="I215" s="10">
        <f t="shared" si="53"/>
        <v>1.191230245566013E-3</v>
      </c>
      <c r="J215" s="6"/>
      <c r="K215">
        <v>216.05999800000001</v>
      </c>
      <c r="L215" s="9">
        <f t="shared" si="54"/>
        <v>-8.7013099018912847E-3</v>
      </c>
      <c r="M215" s="10">
        <f t="shared" si="58"/>
        <v>-8.7013099018912847E-3</v>
      </c>
      <c r="N215" s="6"/>
      <c r="O215">
        <v>113.470001</v>
      </c>
      <c r="P215" s="9">
        <f t="shared" si="55"/>
        <v>1.3659962865427377E-2</v>
      </c>
      <c r="Q215" s="10">
        <f t="shared" si="56"/>
        <v>1.3659962865427377E-2</v>
      </c>
      <c r="R215" s="6"/>
      <c r="S215">
        <v>7014.9101559999999</v>
      </c>
      <c r="T215" s="28">
        <f t="shared" si="59"/>
        <v>5.4355483038349721E-3</v>
      </c>
      <c r="V215" s="6"/>
      <c r="W215">
        <v>80.510002</v>
      </c>
      <c r="X215" s="27">
        <f t="shared" si="60"/>
        <v>1.8258613383216615E-2</v>
      </c>
      <c r="Y215" s="26">
        <f t="shared" si="61"/>
        <v>1.8258613383216615E-2</v>
      </c>
      <c r="Z215" s="6"/>
      <c r="AA215">
        <v>454.07000699999998</v>
      </c>
      <c r="AB215" s="27">
        <f t="shared" si="62"/>
        <v>-1</v>
      </c>
      <c r="AC215" s="26" t="str">
        <f t="shared" si="63"/>
        <v/>
      </c>
      <c r="AD215" s="6"/>
      <c r="AE215">
        <v>1911.2700199999999</v>
      </c>
      <c r="AF215" s="27">
        <f t="shared" si="64"/>
        <v>4.2222950789549208E-3</v>
      </c>
      <c r="AG215" s="27">
        <f t="shared" si="65"/>
        <v>4.2222950789549208E-3</v>
      </c>
      <c r="AH215" s="6"/>
      <c r="AI215">
        <v>36.258597999999999</v>
      </c>
      <c r="AJ215" s="27">
        <f t="shared" si="66"/>
        <v>2.4995561052857E-2</v>
      </c>
      <c r="AK215" s="27">
        <f t="shared" si="67"/>
        <v>2.4995561052857E-2</v>
      </c>
    </row>
    <row r="216" spans="1:37" ht="14.5" x14ac:dyDescent="0.35">
      <c r="A216" s="1">
        <v>44939</v>
      </c>
      <c r="B216">
        <v>53.681198000000002</v>
      </c>
      <c r="D216" s="12">
        <f t="shared" si="57"/>
        <v>4.2845541561836832E-5</v>
      </c>
      <c r="E216" s="13">
        <f t="shared" si="51"/>
        <v>4.2845541561836832E-5</v>
      </c>
      <c r="F216" s="6"/>
      <c r="G216">
        <v>1033.76001</v>
      </c>
      <c r="H216" s="9">
        <f t="shared" si="52"/>
        <v>-1</v>
      </c>
      <c r="I216" s="10" t="str">
        <f t="shared" si="53"/>
        <v/>
      </c>
      <c r="J216" s="6"/>
      <c r="K216">
        <v>214.179993</v>
      </c>
      <c r="L216" s="9">
        <f t="shared" si="54"/>
        <v>-1.3119796861698504E-2</v>
      </c>
      <c r="M216" s="10">
        <f t="shared" si="58"/>
        <v>-1.3119796861698504E-2</v>
      </c>
      <c r="N216" s="6"/>
      <c r="O216">
        <v>115.019997</v>
      </c>
      <c r="P216" s="9">
        <f t="shared" si="55"/>
        <v>-3.4776039856791738E-3</v>
      </c>
      <c r="Q216" s="10">
        <f t="shared" si="56"/>
        <v>-3.4776039856791738E-3</v>
      </c>
      <c r="R216" s="6"/>
      <c r="S216">
        <v>7053.0400390000004</v>
      </c>
      <c r="T216" s="28">
        <f t="shared" si="59"/>
        <v>6.7769145979177097E-4</v>
      </c>
      <c r="V216" s="6"/>
      <c r="W216">
        <v>81.980002999999996</v>
      </c>
      <c r="X216" s="27">
        <f t="shared" si="60"/>
        <v>2.1102658412930284E-2</v>
      </c>
      <c r="Y216" s="26">
        <f t="shared" si="61"/>
        <v>2.1102658412930284E-2</v>
      </c>
      <c r="Z216" s="6"/>
      <c r="AA216" t="s">
        <v>42</v>
      </c>
      <c r="AB216" s="27">
        <f t="shared" si="62"/>
        <v>-1</v>
      </c>
      <c r="AC216" s="26" t="str">
        <f t="shared" si="63"/>
        <v/>
      </c>
      <c r="AD216" s="6"/>
      <c r="AE216">
        <v>1919.339966</v>
      </c>
      <c r="AF216" s="27">
        <f t="shared" si="64"/>
        <v>-1</v>
      </c>
      <c r="AG216" s="27" t="str">
        <f t="shared" si="65"/>
        <v/>
      </c>
      <c r="AH216" s="6"/>
      <c r="AI216">
        <v>37.164901999999998</v>
      </c>
      <c r="AJ216" s="27">
        <f t="shared" si="66"/>
        <v>2.8545696151707912E-2</v>
      </c>
      <c r="AK216" s="27">
        <f t="shared" si="67"/>
        <v>2.8545696151707912E-2</v>
      </c>
    </row>
    <row r="217" spans="1:37" ht="14.5" x14ac:dyDescent="0.35">
      <c r="A217" s="1">
        <v>44942</v>
      </c>
      <c r="B217">
        <v>53.683498</v>
      </c>
      <c r="D217" s="12">
        <f t="shared" si="57"/>
        <v>6.8941111102698821E-5</v>
      </c>
      <c r="E217" s="13">
        <f t="shared" si="51"/>
        <v>6.8941111102698821E-5</v>
      </c>
      <c r="F217" s="6"/>
      <c r="G217" t="s">
        <v>42</v>
      </c>
      <c r="H217" s="9">
        <f t="shared" si="52"/>
        <v>-1</v>
      </c>
      <c r="I217" s="10" t="str">
        <f t="shared" si="53"/>
        <v/>
      </c>
      <c r="J217" s="6"/>
      <c r="K217">
        <v>211.36999499999999</v>
      </c>
      <c r="L217" s="9">
        <f t="shared" si="54"/>
        <v>1.7315627035899846E-2</v>
      </c>
      <c r="M217" s="10">
        <f t="shared" si="58"/>
        <v>1.7315627035899846E-2</v>
      </c>
      <c r="N217" s="6"/>
      <c r="O217">
        <v>114.620003</v>
      </c>
      <c r="P217" s="9">
        <f t="shared" si="55"/>
        <v>1.8146867436393273E-2</v>
      </c>
      <c r="Q217" s="10">
        <f t="shared" si="56"/>
        <v>1.8146867436393273E-2</v>
      </c>
      <c r="R217" s="6"/>
      <c r="S217">
        <v>7057.8198240000002</v>
      </c>
      <c r="T217" s="28">
        <f t="shared" si="59"/>
        <v>5.2835067952847646E-3</v>
      </c>
      <c r="V217" s="6"/>
      <c r="W217">
        <v>83.709998999999996</v>
      </c>
      <c r="X217" s="27">
        <f t="shared" si="60"/>
        <v>-6.5702425823705429E-3</v>
      </c>
      <c r="Y217" s="26">
        <f t="shared" si="61"/>
        <v>-6.5702425823705429E-3</v>
      </c>
      <c r="Z217" s="6"/>
      <c r="AA217">
        <v>472.85998499999999</v>
      </c>
      <c r="AB217" s="27">
        <f t="shared" si="62"/>
        <v>1.2477319263967807E-2</v>
      </c>
      <c r="AC217" s="26">
        <f t="shared" si="63"/>
        <v>1.2477319263967807E-2</v>
      </c>
      <c r="AD217" s="6"/>
      <c r="AE217" t="s">
        <v>42</v>
      </c>
      <c r="AF217" s="27">
        <f t="shared" si="64"/>
        <v>-1</v>
      </c>
      <c r="AG217" s="27" t="str">
        <f t="shared" si="65"/>
        <v/>
      </c>
      <c r="AH217" s="6"/>
      <c r="AI217">
        <v>38.2258</v>
      </c>
      <c r="AJ217" s="27">
        <f t="shared" si="66"/>
        <v>-4.7324320223513612E-3</v>
      </c>
      <c r="AK217" s="27">
        <f t="shared" si="67"/>
        <v>-4.7324320223513612E-3</v>
      </c>
    </row>
    <row r="218" spans="1:37" ht="14.5" x14ac:dyDescent="0.35">
      <c r="A218" s="1">
        <v>44943</v>
      </c>
      <c r="B218">
        <v>53.687199</v>
      </c>
      <c r="D218" s="12">
        <f t="shared" si="57"/>
        <v>6.8917732139500045E-5</v>
      </c>
      <c r="E218" s="13">
        <f t="shared" si="51"/>
        <v>6.8917732139500045E-5</v>
      </c>
      <c r="F218" s="6"/>
      <c r="G218" t="s">
        <v>42</v>
      </c>
      <c r="H218" s="9">
        <f t="shared" si="52"/>
        <v>-1</v>
      </c>
      <c r="I218" s="10" t="str">
        <f t="shared" si="53"/>
        <v/>
      </c>
      <c r="J218" s="6"/>
      <c r="K218">
        <v>215.029999</v>
      </c>
      <c r="L218" s="9">
        <f t="shared" si="54"/>
        <v>1.343998053034446E-2</v>
      </c>
      <c r="M218" s="10">
        <f t="shared" si="58"/>
        <v>1.343998053034446E-2</v>
      </c>
      <c r="N218" s="6"/>
      <c r="O218">
        <v>116.699997</v>
      </c>
      <c r="P218" s="9">
        <f t="shared" si="55"/>
        <v>-4.9699572828609349E-3</v>
      </c>
      <c r="Q218" s="10">
        <f t="shared" si="56"/>
        <v>-4.9699572828609349E-3</v>
      </c>
      <c r="R218" s="6"/>
      <c r="S218">
        <v>7095.1098629999997</v>
      </c>
      <c r="T218" s="28">
        <f t="shared" si="59"/>
        <v>-1.3586326619505649E-3</v>
      </c>
      <c r="V218" s="6"/>
      <c r="W218">
        <v>83.160004000000001</v>
      </c>
      <c r="X218" s="27">
        <f t="shared" si="60"/>
        <v>-1.3828787213622556E-2</v>
      </c>
      <c r="Y218" s="26">
        <f t="shared" si="61"/>
        <v>-1.3828787213622556E-2</v>
      </c>
      <c r="Z218" s="6"/>
      <c r="AA218">
        <v>478.76001000000002</v>
      </c>
      <c r="AB218" s="27">
        <f t="shared" si="62"/>
        <v>-2.9555570023486355E-2</v>
      </c>
      <c r="AC218" s="26">
        <f t="shared" si="63"/>
        <v>-2.9555570023486355E-2</v>
      </c>
      <c r="AD218" s="6"/>
      <c r="AE218">
        <v>1929.119995</v>
      </c>
      <c r="AF218" s="27">
        <f t="shared" si="64"/>
        <v>1.0009775985967069E-2</v>
      </c>
      <c r="AG218" s="27">
        <f t="shared" si="65"/>
        <v>1.0009775985967069E-2</v>
      </c>
      <c r="AH218" s="6"/>
      <c r="AI218">
        <v>38.044899000000001</v>
      </c>
      <c r="AJ218" s="27">
        <f t="shared" si="66"/>
        <v>2.3262251267903438E-3</v>
      </c>
      <c r="AK218" s="27">
        <f t="shared" si="67"/>
        <v>2.3262251267903438E-3</v>
      </c>
    </row>
    <row r="219" spans="1:37" ht="14.5" x14ac:dyDescent="0.35">
      <c r="A219" s="1">
        <v>44944</v>
      </c>
      <c r="B219">
        <v>53.690899000000002</v>
      </c>
      <c r="D219" s="12">
        <f t="shared" si="57"/>
        <v>-1</v>
      </c>
      <c r="E219" s="13" t="str">
        <f t="shared" si="51"/>
        <v/>
      </c>
      <c r="F219" s="6"/>
      <c r="G219">
        <v>1042.030029</v>
      </c>
      <c r="H219" s="9">
        <f t="shared" si="52"/>
        <v>-2.9755188561847711E-4</v>
      </c>
      <c r="I219" s="10">
        <f t="shared" si="53"/>
        <v>-2.9755188561847711E-4</v>
      </c>
      <c r="J219" s="6"/>
      <c r="K219">
        <v>217.91999799999999</v>
      </c>
      <c r="L219" s="9">
        <f t="shared" si="54"/>
        <v>-2.4779414691440175E-3</v>
      </c>
      <c r="M219" s="10">
        <f t="shared" si="58"/>
        <v>-2.4779414691440175E-3</v>
      </c>
      <c r="N219" s="6"/>
      <c r="O219">
        <v>116.120003</v>
      </c>
      <c r="P219" s="9">
        <f t="shared" si="55"/>
        <v>-9.1285305943369973E-3</v>
      </c>
      <c r="Q219" s="10">
        <f t="shared" si="56"/>
        <v>-9.1285305943369973E-3</v>
      </c>
      <c r="R219" s="6"/>
      <c r="S219">
        <v>7085.4702150000003</v>
      </c>
      <c r="T219" s="28">
        <f t="shared" si="59"/>
        <v>-4.4076088180973897E-3</v>
      </c>
      <c r="V219" s="6"/>
      <c r="W219">
        <v>82.010002</v>
      </c>
      <c r="X219" s="27">
        <f t="shared" si="60"/>
        <v>2.8044871892577185E-3</v>
      </c>
      <c r="Y219" s="26">
        <f t="shared" si="61"/>
        <v>2.8044871892577185E-3</v>
      </c>
      <c r="Z219" s="6"/>
      <c r="AA219">
        <v>464.60998499999999</v>
      </c>
      <c r="AB219" s="27">
        <f t="shared" si="62"/>
        <v>-1</v>
      </c>
      <c r="AC219" s="26" t="str">
        <f t="shared" si="63"/>
        <v/>
      </c>
      <c r="AD219" s="6"/>
      <c r="AE219">
        <v>1948.4300539999999</v>
      </c>
      <c r="AF219" s="27">
        <f t="shared" si="64"/>
        <v>-1.1198795130061095E-2</v>
      </c>
      <c r="AG219" s="27">
        <f t="shared" si="65"/>
        <v>-1.1198795130061095E-2</v>
      </c>
      <c r="AH219" s="6"/>
      <c r="AI219">
        <v>38.133400000000002</v>
      </c>
      <c r="AJ219" s="27">
        <f t="shared" si="66"/>
        <v>1.5099676399167027E-2</v>
      </c>
      <c r="AK219" s="27">
        <f t="shared" si="67"/>
        <v>1.5099676399167027E-2</v>
      </c>
    </row>
    <row r="220" spans="1:37" ht="14.5" x14ac:dyDescent="0.35">
      <c r="A220" s="1">
        <v>44945</v>
      </c>
      <c r="B220" t="s">
        <v>42</v>
      </c>
      <c r="D220" s="12">
        <f t="shared" si="57"/>
        <v>-1</v>
      </c>
      <c r="E220" s="13" t="str">
        <f t="shared" si="51"/>
        <v/>
      </c>
      <c r="F220" s="6"/>
      <c r="G220">
        <v>1041.719971</v>
      </c>
      <c r="H220" s="9">
        <f t="shared" si="52"/>
        <v>4.4253591448138339E-3</v>
      </c>
      <c r="I220" s="10">
        <f t="shared" si="53"/>
        <v>4.4253591448138339E-3</v>
      </c>
      <c r="J220" s="6"/>
      <c r="K220">
        <v>217.38000500000001</v>
      </c>
      <c r="L220" s="9">
        <f t="shared" si="54"/>
        <v>-3.7722282691087612E-3</v>
      </c>
      <c r="M220" s="10">
        <f t="shared" si="58"/>
        <v>-3.7722282691087612E-3</v>
      </c>
      <c r="N220" s="6"/>
      <c r="O220">
        <v>115.05999799999999</v>
      </c>
      <c r="P220" s="9">
        <f t="shared" si="55"/>
        <v>-1.2254441374142841E-2</v>
      </c>
      <c r="Q220" s="10">
        <f t="shared" si="56"/>
        <v>-1.2254441374142841E-2</v>
      </c>
      <c r="R220" s="6"/>
      <c r="S220">
        <v>7054.2402339999999</v>
      </c>
      <c r="T220" s="28">
        <f t="shared" si="59"/>
        <v>2.9556138306021025E-3</v>
      </c>
      <c r="V220" s="6"/>
      <c r="W220">
        <v>82.239998</v>
      </c>
      <c r="X220" s="27">
        <f t="shared" si="60"/>
        <v>8.6332565329098904E-3</v>
      </c>
      <c r="Y220" s="26">
        <f t="shared" si="61"/>
        <v>8.6332565329098904E-3</v>
      </c>
      <c r="Z220" s="6"/>
      <c r="AA220" t="s">
        <v>42</v>
      </c>
      <c r="AB220" s="27">
        <f t="shared" si="62"/>
        <v>-1</v>
      </c>
      <c r="AC220" s="26" t="str">
        <f t="shared" si="63"/>
        <v/>
      </c>
      <c r="AD220" s="6"/>
      <c r="AE220">
        <v>1926.6099850000001</v>
      </c>
      <c r="AF220" s="27">
        <f t="shared" si="64"/>
        <v>-1.2607657589815708E-2</v>
      </c>
      <c r="AG220" s="27">
        <f t="shared" si="65"/>
        <v>-1.2607657589815708E-2</v>
      </c>
      <c r="AH220" s="6"/>
      <c r="AI220">
        <v>38.709201999999998</v>
      </c>
      <c r="AJ220" s="27">
        <f t="shared" si="66"/>
        <v>-1.6430976799780199E-3</v>
      </c>
      <c r="AK220" s="27">
        <f t="shared" si="67"/>
        <v>-1.6430976799780199E-3</v>
      </c>
    </row>
    <row r="221" spans="1:37" ht="14.5" x14ac:dyDescent="0.35">
      <c r="A221" s="1">
        <v>44946</v>
      </c>
      <c r="B221">
        <v>53.701000000000001</v>
      </c>
      <c r="D221" s="12">
        <f t="shared" si="57"/>
        <v>3.3537550511170843E-5</v>
      </c>
      <c r="E221" s="13">
        <f t="shared" si="51"/>
        <v>3.3537550511170843E-5</v>
      </c>
      <c r="F221" s="6"/>
      <c r="G221">
        <v>1046.329956</v>
      </c>
      <c r="H221" s="9">
        <f t="shared" si="52"/>
        <v>1.8254604955609203E-3</v>
      </c>
      <c r="I221" s="10">
        <f t="shared" si="53"/>
        <v>1.8254604955609203E-3</v>
      </c>
      <c r="J221" s="6"/>
      <c r="K221">
        <v>216.55999800000001</v>
      </c>
      <c r="L221" s="9">
        <f t="shared" si="54"/>
        <v>5.3103482204501264E-3</v>
      </c>
      <c r="M221" s="10">
        <f t="shared" si="58"/>
        <v>5.3103482204501264E-3</v>
      </c>
      <c r="N221" s="6"/>
      <c r="O221">
        <v>113.650002</v>
      </c>
      <c r="P221" s="9">
        <f t="shared" si="55"/>
        <v>1.8477694351470074E-3</v>
      </c>
      <c r="Q221" s="10">
        <f t="shared" si="56"/>
        <v>1.8477694351470074E-3</v>
      </c>
      <c r="R221" s="6"/>
      <c r="S221">
        <v>7075.0898440000001</v>
      </c>
      <c r="T221" s="28">
        <f t="shared" si="59"/>
        <v>1.7116886523031783E-3</v>
      </c>
      <c r="V221" s="6"/>
      <c r="W221">
        <v>82.949996999999996</v>
      </c>
      <c r="X221" s="27">
        <f t="shared" si="60"/>
        <v>-1.6274852909277344E-2</v>
      </c>
      <c r="Y221" s="26">
        <f t="shared" si="61"/>
        <v>-1.6274852909277344E-2</v>
      </c>
      <c r="Z221" s="6"/>
      <c r="AA221">
        <v>488.64001500000001</v>
      </c>
      <c r="AB221" s="27">
        <f t="shared" si="62"/>
        <v>-1.2284708201801365E-4</v>
      </c>
      <c r="AC221" s="26">
        <f t="shared" si="63"/>
        <v>-1.2284708201801365E-4</v>
      </c>
      <c r="AD221" s="6"/>
      <c r="AE221">
        <v>1902.3199460000001</v>
      </c>
      <c r="AF221" s="27">
        <f t="shared" si="64"/>
        <v>2.1757651801438845E-2</v>
      </c>
      <c r="AG221" s="27">
        <f t="shared" si="65"/>
        <v>2.1757651801438845E-2</v>
      </c>
      <c r="AH221" s="6"/>
      <c r="AI221">
        <v>38.645598999999997</v>
      </c>
      <c r="AJ221" s="27">
        <f t="shared" si="66"/>
        <v>-1.8635990090359159E-2</v>
      </c>
      <c r="AK221" s="27">
        <f t="shared" si="67"/>
        <v>-1.8635990090359159E-2</v>
      </c>
    </row>
    <row r="222" spans="1:37" ht="14.5" x14ac:dyDescent="0.35">
      <c r="A222" s="1">
        <v>44949</v>
      </c>
      <c r="B222">
        <v>53.702801000000001</v>
      </c>
      <c r="D222" s="12">
        <f t="shared" si="57"/>
        <v>7.0741189086222407E-5</v>
      </c>
      <c r="E222" s="13">
        <f t="shared" si="51"/>
        <v>7.0741189086222407E-5</v>
      </c>
      <c r="F222" s="6"/>
      <c r="G222">
        <v>1048.23999</v>
      </c>
      <c r="H222" s="9">
        <f t="shared" si="52"/>
        <v>-3.4152064738534145E-3</v>
      </c>
      <c r="I222" s="10">
        <f t="shared" si="53"/>
        <v>-3.4152064738534145E-3</v>
      </c>
      <c r="J222" s="6"/>
      <c r="K222">
        <v>217.71000699999999</v>
      </c>
      <c r="L222" s="9">
        <f t="shared" si="54"/>
        <v>6.8896235899721802E-4</v>
      </c>
      <c r="M222" s="10">
        <f t="shared" si="58"/>
        <v>6.8896235899721802E-4</v>
      </c>
      <c r="N222" s="6"/>
      <c r="O222">
        <v>113.860001</v>
      </c>
      <c r="P222" s="9">
        <f t="shared" si="55"/>
        <v>1.519405396808316E-2</v>
      </c>
      <c r="Q222" s="10">
        <f t="shared" si="56"/>
        <v>1.519405396808316E-2</v>
      </c>
      <c r="R222" s="6"/>
      <c r="S222">
        <v>7087.2001950000003</v>
      </c>
      <c r="T222" s="28">
        <f t="shared" si="59"/>
        <v>3.2212424330986984E-3</v>
      </c>
      <c r="V222" s="6"/>
      <c r="W222">
        <v>81.599997999999999</v>
      </c>
      <c r="X222" s="27">
        <f t="shared" si="60"/>
        <v>2.4019608431853072E-2</v>
      </c>
      <c r="Y222" s="26">
        <f t="shared" si="61"/>
        <v>2.4019608431853072E-2</v>
      </c>
      <c r="Z222" s="6"/>
      <c r="AA222">
        <v>488.57998700000002</v>
      </c>
      <c r="AB222" s="27">
        <f t="shared" si="62"/>
        <v>-1.4634234291712796E-2</v>
      </c>
      <c r="AC222" s="26">
        <f t="shared" si="63"/>
        <v>-1.4634234291712796E-2</v>
      </c>
      <c r="AD222" s="6"/>
      <c r="AE222">
        <v>1943.709961</v>
      </c>
      <c r="AF222" s="27">
        <f t="shared" si="64"/>
        <v>2.2956097306330581E-2</v>
      </c>
      <c r="AG222" s="27">
        <f t="shared" si="65"/>
        <v>2.2956097306330581E-2</v>
      </c>
      <c r="AH222" s="6"/>
      <c r="AI222">
        <v>37.925400000000003</v>
      </c>
      <c r="AJ222" s="27">
        <f t="shared" si="66"/>
        <v>1.5741429226850453E-2</v>
      </c>
      <c r="AK222" s="27">
        <f t="shared" si="67"/>
        <v>1.5741429226850453E-2</v>
      </c>
    </row>
    <row r="223" spans="1:37" ht="14.5" x14ac:dyDescent="0.35">
      <c r="A223" s="1">
        <v>44950</v>
      </c>
      <c r="B223">
        <v>53.706600000000002</v>
      </c>
      <c r="D223" s="12">
        <f t="shared" si="57"/>
        <v>4.0981927733266551E-5</v>
      </c>
      <c r="E223" s="13">
        <f t="shared" si="51"/>
        <v>4.0981927733266551E-5</v>
      </c>
      <c r="F223" s="6"/>
      <c r="G223">
        <v>1044.660034</v>
      </c>
      <c r="H223" s="9">
        <f t="shared" si="52"/>
        <v>-1.2444708878371282E-3</v>
      </c>
      <c r="I223" s="10">
        <f t="shared" si="53"/>
        <v>-1.2444708878371282E-3</v>
      </c>
      <c r="J223" s="6"/>
      <c r="K223">
        <v>217.86000100000001</v>
      </c>
      <c r="L223" s="9">
        <f t="shared" si="54"/>
        <v>-1.1475259288188473E-2</v>
      </c>
      <c r="M223" s="10">
        <f t="shared" si="58"/>
        <v>-1.1475259288188473E-2</v>
      </c>
      <c r="N223" s="6"/>
      <c r="O223">
        <v>115.589996</v>
      </c>
      <c r="P223" s="9">
        <f t="shared" si="55"/>
        <v>-1.9032183373377946E-3</v>
      </c>
      <c r="Q223" s="10">
        <f t="shared" si="56"/>
        <v>-1.9032183373377946E-3</v>
      </c>
      <c r="R223" s="6"/>
      <c r="S223">
        <v>7110.0297849999997</v>
      </c>
      <c r="T223" s="28">
        <f t="shared" si="59"/>
        <v>3.7088616781371744E-3</v>
      </c>
      <c r="V223" s="6"/>
      <c r="W223">
        <v>83.559997999999993</v>
      </c>
      <c r="X223" s="27">
        <f t="shared" si="60"/>
        <v>1.5916718906575488E-2</v>
      </c>
      <c r="Y223" s="26">
        <f t="shared" si="61"/>
        <v>1.5916718906575488E-2</v>
      </c>
      <c r="Z223" s="6"/>
      <c r="AA223">
        <v>481.42999300000002</v>
      </c>
      <c r="AB223" s="27">
        <f t="shared" si="62"/>
        <v>2.3907959967919921E-2</v>
      </c>
      <c r="AC223" s="26">
        <f t="shared" si="63"/>
        <v>2.3907959967919921E-2</v>
      </c>
      <c r="AD223" s="6"/>
      <c r="AE223">
        <v>1988.329956</v>
      </c>
      <c r="AF223" s="27">
        <f t="shared" si="64"/>
        <v>-9.651285965939593E-3</v>
      </c>
      <c r="AG223" s="27">
        <f t="shared" si="65"/>
        <v>-9.651285965939593E-3</v>
      </c>
      <c r="AH223" s="6"/>
      <c r="AI223">
        <v>38.522399999999998</v>
      </c>
      <c r="AJ223" s="27">
        <f t="shared" si="66"/>
        <v>2.9157035906381735E-2</v>
      </c>
      <c r="AK223" s="27">
        <f t="shared" si="67"/>
        <v>2.9157035906381735E-2</v>
      </c>
    </row>
    <row r="224" spans="1:37" ht="14.5" x14ac:dyDescent="0.35">
      <c r="A224" s="1">
        <v>44951</v>
      </c>
      <c r="B224">
        <v>53.708801000000001</v>
      </c>
      <c r="D224" s="12">
        <f t="shared" si="57"/>
        <v>-1</v>
      </c>
      <c r="E224" s="13" t="str">
        <f t="shared" si="51"/>
        <v/>
      </c>
      <c r="F224" s="6"/>
      <c r="G224">
        <v>1043.3599850000001</v>
      </c>
      <c r="H224" s="9">
        <f t="shared" si="52"/>
        <v>9.8722398290930903E-4</v>
      </c>
      <c r="I224" s="10">
        <f t="shared" si="53"/>
        <v>9.8722398290930903E-4</v>
      </c>
      <c r="J224" s="6"/>
      <c r="K224">
        <v>215.36000100000001</v>
      </c>
      <c r="L224" s="9">
        <f t="shared" si="54"/>
        <v>1.0401211875923034E-2</v>
      </c>
      <c r="M224" s="10">
        <f t="shared" si="58"/>
        <v>1.0401211875923034E-2</v>
      </c>
      <c r="N224" s="6"/>
      <c r="O224">
        <v>115.370003</v>
      </c>
      <c r="P224" s="9">
        <f t="shared" si="55"/>
        <v>-4.7672964002610264E-3</v>
      </c>
      <c r="Q224" s="10">
        <f t="shared" si="56"/>
        <v>-4.7672964002610264E-3</v>
      </c>
      <c r="R224" s="6"/>
      <c r="S224">
        <v>7136.3999020000001</v>
      </c>
      <c r="T224" s="28">
        <f t="shared" si="59"/>
        <v>6.3856165049311396E-3</v>
      </c>
      <c r="V224" s="6"/>
      <c r="W224">
        <v>84.889999000000003</v>
      </c>
      <c r="X224" s="27">
        <f t="shared" si="60"/>
        <v>-9.4240783298878323E-4</v>
      </c>
      <c r="Y224" s="26">
        <f t="shared" si="61"/>
        <v>-9.4240783298878323E-4</v>
      </c>
      <c r="Z224" s="6"/>
      <c r="AA224">
        <v>492.94000199999999</v>
      </c>
      <c r="AB224" s="27">
        <f t="shared" si="62"/>
        <v>5.4083608333332173E-2</v>
      </c>
      <c r="AC224" s="26">
        <f t="shared" si="63"/>
        <v>5.4083608333332173E-2</v>
      </c>
      <c r="AD224" s="6"/>
      <c r="AE224">
        <v>1969.1400149999999</v>
      </c>
      <c r="AF224" s="27">
        <f t="shared" si="64"/>
        <v>-3.9052906047414271E-3</v>
      </c>
      <c r="AG224" s="27">
        <f t="shared" si="65"/>
        <v>-3.9052906047414271E-3</v>
      </c>
      <c r="AH224" s="6"/>
      <c r="AI224">
        <v>39.645598999999997</v>
      </c>
      <c r="AJ224" s="27">
        <f t="shared" si="66"/>
        <v>2.2920551660727987E-2</v>
      </c>
      <c r="AK224" s="27">
        <f t="shared" si="67"/>
        <v>2.2920551660727987E-2</v>
      </c>
    </row>
    <row r="225" spans="1:37" ht="14.5" x14ac:dyDescent="0.35">
      <c r="A225" s="1">
        <v>44952</v>
      </c>
      <c r="B225" t="s">
        <v>42</v>
      </c>
      <c r="D225" s="12">
        <f t="shared" si="57"/>
        <v>-1</v>
      </c>
      <c r="E225" s="13" t="str">
        <f t="shared" si="51"/>
        <v/>
      </c>
      <c r="F225" s="6"/>
      <c r="G225">
        <v>1044.3900149999999</v>
      </c>
      <c r="H225" s="9">
        <f t="shared" si="52"/>
        <v>3.4469642071406495E-3</v>
      </c>
      <c r="I225" s="10">
        <f t="shared" si="53"/>
        <v>3.4469642071406495E-3</v>
      </c>
      <c r="J225" s="6"/>
      <c r="K225">
        <v>217.60000600000001</v>
      </c>
      <c r="L225" s="9">
        <f t="shared" si="54"/>
        <v>1.2270211058725763E-2</v>
      </c>
      <c r="M225" s="10">
        <f t="shared" si="58"/>
        <v>1.2270211058725763E-2</v>
      </c>
      <c r="N225" s="6"/>
      <c r="O225">
        <v>114.82</v>
      </c>
      <c r="P225" s="9">
        <f t="shared" si="55"/>
        <v>-8.7110259536666665E-5</v>
      </c>
      <c r="Q225" s="10">
        <f t="shared" si="56"/>
        <v>-8.7110259536666665E-5</v>
      </c>
      <c r="R225" s="6"/>
      <c r="S225">
        <v>7181.9702150000003</v>
      </c>
      <c r="T225" s="28">
        <f t="shared" si="59"/>
        <v>-5.0307046560203808E-3</v>
      </c>
      <c r="V225" s="6"/>
      <c r="W225">
        <v>84.809997999999993</v>
      </c>
      <c r="X225" s="27">
        <f t="shared" si="60"/>
        <v>-2.346419109690346E-2</v>
      </c>
      <c r="Y225" s="26">
        <f t="shared" si="61"/>
        <v>-2.346419109690346E-2</v>
      </c>
      <c r="Z225" s="6"/>
      <c r="AA225">
        <v>519.59997599999997</v>
      </c>
      <c r="AB225" s="27">
        <f t="shared" si="62"/>
        <v>-2.9059835830323559E-3</v>
      </c>
      <c r="AC225" s="26">
        <f t="shared" si="63"/>
        <v>-2.9059835830323559E-3</v>
      </c>
      <c r="AD225" s="6"/>
      <c r="AE225">
        <v>1961.4499510000001</v>
      </c>
      <c r="AF225" s="27">
        <f t="shared" si="64"/>
        <v>1.9908766461306432E-2</v>
      </c>
      <c r="AG225" s="27">
        <f t="shared" si="65"/>
        <v>1.9908766461306432E-2</v>
      </c>
      <c r="AH225" s="6"/>
      <c r="AI225">
        <v>40.554298000000003</v>
      </c>
      <c r="AJ225" s="27">
        <f t="shared" si="66"/>
        <v>-1.9950955629906383E-2</v>
      </c>
      <c r="AK225" s="27">
        <f t="shared" si="67"/>
        <v>-1.9950955629906383E-2</v>
      </c>
    </row>
    <row r="226" spans="1:37" ht="14.5" x14ac:dyDescent="0.35">
      <c r="A226" s="1">
        <v>44953</v>
      </c>
      <c r="B226">
        <v>53.722698000000001</v>
      </c>
      <c r="D226" s="12">
        <f t="shared" si="57"/>
        <v>9.3089144554877592E-5</v>
      </c>
      <c r="E226" s="13">
        <f t="shared" si="51"/>
        <v>9.3089144554877592E-5</v>
      </c>
      <c r="F226" s="6"/>
      <c r="G226">
        <v>1047.98999</v>
      </c>
      <c r="H226" s="9">
        <f t="shared" si="52"/>
        <v>-2.127863835798726E-3</v>
      </c>
      <c r="I226" s="10">
        <f t="shared" si="53"/>
        <v>-2.127863835798726E-3</v>
      </c>
      <c r="J226" s="6"/>
      <c r="K226">
        <v>220.270004</v>
      </c>
      <c r="L226" s="9">
        <f t="shared" si="54"/>
        <v>1.6207345236167577E-2</v>
      </c>
      <c r="M226" s="10">
        <f t="shared" si="58"/>
        <v>1.6207345236167577E-2</v>
      </c>
      <c r="N226" s="6"/>
      <c r="O226">
        <v>114.80999799999999</v>
      </c>
      <c r="P226" s="9">
        <f t="shared" si="55"/>
        <v>8.4487502560535773E-3</v>
      </c>
      <c r="Q226" s="10">
        <f t="shared" si="56"/>
        <v>8.4487502560535773E-3</v>
      </c>
      <c r="R226" s="6"/>
      <c r="S226">
        <v>7145.8398440000001</v>
      </c>
      <c r="T226" s="28">
        <f t="shared" si="59"/>
        <v>5.001544224365613E-3</v>
      </c>
      <c r="V226" s="6"/>
      <c r="W226">
        <v>82.82</v>
      </c>
      <c r="X226" s="27">
        <f t="shared" si="60"/>
        <v>-9.2972349673990512E-3</v>
      </c>
      <c r="Y226" s="26">
        <f t="shared" si="61"/>
        <v>-9.2972349673990512E-3</v>
      </c>
      <c r="Z226" s="6"/>
      <c r="AA226">
        <v>518.09002699999996</v>
      </c>
      <c r="AB226" s="27">
        <f t="shared" si="62"/>
        <v>-1.7989224872687917E-2</v>
      </c>
      <c r="AC226" s="26">
        <f t="shared" si="63"/>
        <v>-1.7989224872687917E-2</v>
      </c>
      <c r="AD226" s="6"/>
      <c r="AE226">
        <v>2000.5</v>
      </c>
      <c r="AF226" s="27">
        <f t="shared" si="64"/>
        <v>1.1207220194951243E-2</v>
      </c>
      <c r="AG226" s="27">
        <f t="shared" si="65"/>
        <v>1.1207220194951243E-2</v>
      </c>
      <c r="AH226" s="6"/>
      <c r="AI226">
        <v>39.745201000000002</v>
      </c>
      <c r="AJ226" s="27">
        <f t="shared" si="66"/>
        <v>-1.6605778393220447E-2</v>
      </c>
      <c r="AK226" s="27">
        <f t="shared" si="67"/>
        <v>-1.6605778393220447E-2</v>
      </c>
    </row>
    <row r="227" spans="1:37" ht="14.5" x14ac:dyDescent="0.35">
      <c r="A227" s="1">
        <v>44956</v>
      </c>
      <c r="B227">
        <v>53.727699000000001</v>
      </c>
      <c r="D227" s="12">
        <f t="shared" si="57"/>
        <v>9.1237854798160891E-5</v>
      </c>
      <c r="E227" s="13">
        <f t="shared" si="51"/>
        <v>9.1237854798160891E-5</v>
      </c>
      <c r="F227" s="6"/>
      <c r="G227">
        <v>1045.76001</v>
      </c>
      <c r="H227" s="9">
        <f t="shared" si="52"/>
        <v>-1.0517327010805787E-4</v>
      </c>
      <c r="I227" s="10">
        <f t="shared" si="53"/>
        <v>-1.0517327010805787E-4</v>
      </c>
      <c r="J227" s="6"/>
      <c r="K227">
        <v>223.83999600000001</v>
      </c>
      <c r="L227" s="9">
        <f t="shared" si="54"/>
        <v>-7.5500448096863845E-3</v>
      </c>
      <c r="M227" s="10">
        <f t="shared" si="58"/>
        <v>-7.5500448096863845E-3</v>
      </c>
      <c r="N227" s="6"/>
      <c r="O227">
        <v>115.779999</v>
      </c>
      <c r="P227" s="9">
        <f t="shared" si="55"/>
        <v>-6.218699310923388E-3</v>
      </c>
      <c r="Q227" s="10">
        <f t="shared" si="56"/>
        <v>-6.218699310923388E-3</v>
      </c>
      <c r="R227" s="6"/>
      <c r="S227">
        <v>7181.580078</v>
      </c>
      <c r="T227" s="28">
        <f t="shared" si="59"/>
        <v>-2.7012732280775318E-4</v>
      </c>
      <c r="V227" s="6"/>
      <c r="W227">
        <v>82.050003000000004</v>
      </c>
      <c r="X227" s="27">
        <f t="shared" si="60"/>
        <v>-1.218842124844378E-3</v>
      </c>
      <c r="Y227" s="26">
        <f t="shared" si="61"/>
        <v>-1.218842124844378E-3</v>
      </c>
      <c r="Z227" s="6"/>
      <c r="AA227">
        <v>508.76998900000001</v>
      </c>
      <c r="AB227" s="27">
        <f t="shared" si="62"/>
        <v>-1.0456546406081343E-2</v>
      </c>
      <c r="AC227" s="26">
        <f t="shared" si="63"/>
        <v>-1.0456546406081343E-2</v>
      </c>
      <c r="AD227" s="6"/>
      <c r="AE227">
        <v>2022.920044</v>
      </c>
      <c r="AF227" s="27">
        <f t="shared" si="64"/>
        <v>-2.0905442667115113E-2</v>
      </c>
      <c r="AG227" s="27">
        <f t="shared" si="65"/>
        <v>-2.0905442667115113E-2</v>
      </c>
      <c r="AH227" s="6"/>
      <c r="AI227">
        <v>39.085200999999998</v>
      </c>
      <c r="AJ227" s="27">
        <f t="shared" si="66"/>
        <v>2.6055872144549092E-2</v>
      </c>
      <c r="AK227" s="27">
        <f t="shared" si="67"/>
        <v>2.6055872144549092E-2</v>
      </c>
    </row>
    <row r="228" spans="1:37" ht="14.5" x14ac:dyDescent="0.35">
      <c r="A228" s="1">
        <v>44957</v>
      </c>
      <c r="B228">
        <v>53.732601000000003</v>
      </c>
      <c r="D228" s="12">
        <f t="shared" si="57"/>
        <v>6.8859499282287293E-5</v>
      </c>
      <c r="E228" s="13">
        <f t="shared" si="51"/>
        <v>6.8859499282287293E-5</v>
      </c>
      <c r="F228" s="6"/>
      <c r="G228">
        <v>1045.650024</v>
      </c>
      <c r="H228" s="9">
        <f t="shared" si="52"/>
        <v>-8.7030457525241354E-4</v>
      </c>
      <c r="I228" s="10">
        <f t="shared" si="53"/>
        <v>-8.7030457525241354E-4</v>
      </c>
      <c r="J228" s="6"/>
      <c r="K228">
        <v>222.14999399999999</v>
      </c>
      <c r="L228" s="9">
        <f t="shared" si="54"/>
        <v>-1.0488350497096968E-2</v>
      </c>
      <c r="M228" s="10">
        <f t="shared" si="58"/>
        <v>-1.0488350497096968E-2</v>
      </c>
      <c r="N228" s="6"/>
      <c r="O228">
        <v>115.05999799999999</v>
      </c>
      <c r="P228" s="9">
        <f t="shared" si="55"/>
        <v>-7.7350948676358083E-3</v>
      </c>
      <c r="Q228" s="10">
        <f t="shared" si="56"/>
        <v>-7.7350948676358083E-3</v>
      </c>
      <c r="R228" s="6"/>
      <c r="S228">
        <v>7179.6401370000003</v>
      </c>
      <c r="T228" s="28">
        <f t="shared" si="59"/>
        <v>-1.9819908419457886E-3</v>
      </c>
      <c r="V228" s="6"/>
      <c r="W228">
        <v>81.949996999999996</v>
      </c>
      <c r="X228" s="27">
        <f t="shared" si="60"/>
        <v>-7.6875780727606747E-3</v>
      </c>
      <c r="Y228" s="26">
        <f t="shared" si="61"/>
        <v>-7.6875780727606747E-3</v>
      </c>
      <c r="Z228" s="6"/>
      <c r="AA228">
        <v>503.45001200000002</v>
      </c>
      <c r="AB228" s="27">
        <f t="shared" si="62"/>
        <v>2.7112848693307715E-2</v>
      </c>
      <c r="AC228" s="26">
        <f t="shared" si="63"/>
        <v>2.7112848693307715E-2</v>
      </c>
      <c r="AD228" s="6"/>
      <c r="AE228">
        <v>1980.630005</v>
      </c>
      <c r="AF228" s="27">
        <f t="shared" si="64"/>
        <v>1.5994937933902463E-2</v>
      </c>
      <c r="AG228" s="27">
        <f t="shared" si="65"/>
        <v>1.5994937933902463E-2</v>
      </c>
      <c r="AH228" s="6"/>
      <c r="AI228">
        <v>40.1036</v>
      </c>
      <c r="AJ228" s="27">
        <f t="shared" si="66"/>
        <v>-1.6210539702171359E-2</v>
      </c>
      <c r="AK228" s="27">
        <f t="shared" si="67"/>
        <v>-1.6210539702171359E-2</v>
      </c>
    </row>
    <row r="229" spans="1:37" ht="14.5" x14ac:dyDescent="0.35">
      <c r="A229" s="1">
        <v>44958</v>
      </c>
      <c r="B229">
        <v>53.736300999999997</v>
      </c>
      <c r="D229" s="12">
        <f t="shared" si="57"/>
        <v>-1</v>
      </c>
      <c r="E229" s="13" t="str">
        <f t="shared" si="51"/>
        <v/>
      </c>
      <c r="F229" s="6"/>
      <c r="G229">
        <v>1044.73999</v>
      </c>
      <c r="H229" s="9">
        <f t="shared" si="52"/>
        <v>-1.5318069714168403E-4</v>
      </c>
      <c r="I229" s="10">
        <f t="shared" si="53"/>
        <v>-1.5318069714168403E-4</v>
      </c>
      <c r="J229" s="6"/>
      <c r="K229">
        <v>219.820007</v>
      </c>
      <c r="L229" s="9">
        <f t="shared" si="54"/>
        <v>9.8261711000673189E-3</v>
      </c>
      <c r="M229" s="10">
        <f t="shared" si="58"/>
        <v>9.8261711000673189E-3</v>
      </c>
      <c r="N229" s="6"/>
      <c r="O229">
        <v>114.16999800000001</v>
      </c>
      <c r="P229" s="9">
        <f t="shared" si="55"/>
        <v>7.0072699834849116E-4</v>
      </c>
      <c r="Q229" s="10">
        <f t="shared" si="56"/>
        <v>7.0072699834849116E-4</v>
      </c>
      <c r="R229" s="6"/>
      <c r="S229">
        <v>7165.4101559999999</v>
      </c>
      <c r="T229" s="28">
        <f t="shared" si="59"/>
        <v>-2.5023237483461996E-3</v>
      </c>
      <c r="V229" s="6"/>
      <c r="W229">
        <v>81.319999999999993</v>
      </c>
      <c r="X229" s="27">
        <f t="shared" si="60"/>
        <v>-1.5986264141662442E-2</v>
      </c>
      <c r="Y229" s="26">
        <f t="shared" si="61"/>
        <v>-1.5986264141662442E-2</v>
      </c>
      <c r="Z229" s="6"/>
      <c r="AA229">
        <v>517.09997599999997</v>
      </c>
      <c r="AB229" s="27">
        <f t="shared" si="62"/>
        <v>2.6687373120280041E-3</v>
      </c>
      <c r="AC229" s="26">
        <f t="shared" si="63"/>
        <v>2.6687373120280041E-3</v>
      </c>
      <c r="AD229" s="6"/>
      <c r="AE229">
        <v>2012.3100589999999</v>
      </c>
      <c r="AF229" s="27">
        <f t="shared" si="64"/>
        <v>1.9415409581272761E-2</v>
      </c>
      <c r="AG229" s="27">
        <f t="shared" si="65"/>
        <v>1.9415409581272761E-2</v>
      </c>
      <c r="AH229" s="6"/>
      <c r="AI229">
        <v>39.453499000000001</v>
      </c>
      <c r="AJ229" s="27">
        <f t="shared" si="66"/>
        <v>-4.4406200828981416E-3</v>
      </c>
      <c r="AK229" s="27">
        <f t="shared" si="67"/>
        <v>-4.4406200828981416E-3</v>
      </c>
    </row>
    <row r="230" spans="1:37" ht="14.5" x14ac:dyDescent="0.35">
      <c r="A230" s="1">
        <v>44959</v>
      </c>
      <c r="B230" t="s">
        <v>42</v>
      </c>
      <c r="D230" s="12">
        <f t="shared" si="57"/>
        <v>-1</v>
      </c>
      <c r="E230" s="13" t="str">
        <f t="shared" si="51"/>
        <v/>
      </c>
      <c r="F230" s="6"/>
      <c r="G230">
        <v>1044.579956</v>
      </c>
      <c r="H230" s="9">
        <f t="shared" si="52"/>
        <v>1.1584398044872503E-3</v>
      </c>
      <c r="I230" s="10">
        <f t="shared" si="53"/>
        <v>1.1584398044872503E-3</v>
      </c>
      <c r="J230" s="6"/>
      <c r="K230">
        <v>221.979996</v>
      </c>
      <c r="L230" s="9">
        <f t="shared" si="54"/>
        <v>-1.2884048344608543E-2</v>
      </c>
      <c r="M230" s="10">
        <f t="shared" si="58"/>
        <v>-1.2884048344608543E-2</v>
      </c>
      <c r="N230" s="6"/>
      <c r="O230">
        <v>114.25</v>
      </c>
      <c r="P230" s="9">
        <f t="shared" si="55"/>
        <v>5.3654240700218847E-2</v>
      </c>
      <c r="Q230" s="10">
        <f t="shared" si="56"/>
        <v>5.3654240700218847E-2</v>
      </c>
      <c r="R230" s="6"/>
      <c r="S230">
        <v>7147.4799800000001</v>
      </c>
      <c r="T230" s="28">
        <f t="shared" si="59"/>
        <v>1.0887728992281779E-2</v>
      </c>
      <c r="V230" s="6"/>
      <c r="W230">
        <v>80.019997000000004</v>
      </c>
      <c r="X230" s="27">
        <f t="shared" si="60"/>
        <v>-8.6227821278225033E-3</v>
      </c>
      <c r="Y230" s="26">
        <f t="shared" si="61"/>
        <v>-8.6227821278225033E-3</v>
      </c>
      <c r="Z230" s="6"/>
      <c r="AA230">
        <v>518.47997999999995</v>
      </c>
      <c r="AB230" s="27">
        <f t="shared" si="62"/>
        <v>-3.4427510585847448E-2</v>
      </c>
      <c r="AC230" s="26">
        <f t="shared" si="63"/>
        <v>-3.4427510585847448E-2</v>
      </c>
      <c r="AD230" s="6"/>
      <c r="AE230">
        <v>2051.3798830000001</v>
      </c>
      <c r="AF230" s="27">
        <f t="shared" si="64"/>
        <v>2.024980323939346E-2</v>
      </c>
      <c r="AG230" s="27">
        <f t="shared" si="65"/>
        <v>2.024980323939346E-2</v>
      </c>
      <c r="AH230" s="6"/>
      <c r="AI230">
        <v>39.278300999999999</v>
      </c>
      <c r="AJ230" s="27">
        <f t="shared" si="66"/>
        <v>-2.3524184510933998E-3</v>
      </c>
      <c r="AK230" s="27">
        <f t="shared" si="67"/>
        <v>-2.3524184510933998E-3</v>
      </c>
    </row>
    <row r="231" spans="1:37" ht="14.5" x14ac:dyDescent="0.35">
      <c r="A231" s="1">
        <v>44960</v>
      </c>
      <c r="B231">
        <v>53.748600000000003</v>
      </c>
      <c r="D231" s="12">
        <f t="shared" si="57"/>
        <v>5.2094380132570413E-5</v>
      </c>
      <c r="E231" s="13">
        <f t="shared" si="51"/>
        <v>5.2094380132570413E-5</v>
      </c>
      <c r="F231" s="6"/>
      <c r="G231">
        <v>1045.790039</v>
      </c>
      <c r="H231" s="9">
        <f t="shared" si="52"/>
        <v>2.9833856545271771E-3</v>
      </c>
      <c r="I231" s="10">
        <f t="shared" si="53"/>
        <v>2.9833856545271771E-3</v>
      </c>
      <c r="J231" s="6"/>
      <c r="K231">
        <v>219.11999499999999</v>
      </c>
      <c r="L231" s="9">
        <f t="shared" si="54"/>
        <v>-5.5677301380003975E-3</v>
      </c>
      <c r="M231" s="10">
        <f t="shared" si="58"/>
        <v>-5.5677301380003975E-3</v>
      </c>
      <c r="N231" s="6"/>
      <c r="O231">
        <v>120.379997</v>
      </c>
      <c r="P231" s="9">
        <f t="shared" si="55"/>
        <v>-1.5035695672928201E-2</v>
      </c>
      <c r="Q231" s="10">
        <f t="shared" si="56"/>
        <v>-1.5035695672928201E-2</v>
      </c>
      <c r="R231" s="6"/>
      <c r="S231">
        <v>7225.2998049999997</v>
      </c>
      <c r="T231" s="28">
        <f t="shared" si="59"/>
        <v>-2.5562575254273055E-3</v>
      </c>
      <c r="V231" s="6"/>
      <c r="W231">
        <v>79.330001999999993</v>
      </c>
      <c r="X231" s="27">
        <f t="shared" si="60"/>
        <v>9.0760239738807841E-3</v>
      </c>
      <c r="Y231" s="26">
        <f t="shared" si="61"/>
        <v>9.0760239738807841E-3</v>
      </c>
      <c r="Z231" s="6"/>
      <c r="AA231">
        <v>500.63000499999998</v>
      </c>
      <c r="AB231" s="27">
        <f t="shared" si="62"/>
        <v>3.9350438054547385E-3</v>
      </c>
      <c r="AC231" s="26">
        <f t="shared" si="63"/>
        <v>3.9350438054547385E-3</v>
      </c>
      <c r="AD231" s="6"/>
      <c r="AE231">
        <v>2092.919922</v>
      </c>
      <c r="AF231" s="27">
        <f t="shared" si="64"/>
        <v>-7.4918929459165456E-3</v>
      </c>
      <c r="AG231" s="27">
        <f t="shared" si="65"/>
        <v>-7.4918929459165456E-3</v>
      </c>
      <c r="AH231" s="6"/>
      <c r="AI231">
        <v>39.185901999999999</v>
      </c>
      <c r="AJ231" s="27">
        <f t="shared" si="66"/>
        <v>8.934259060822387E-3</v>
      </c>
      <c r="AK231" s="27">
        <f t="shared" si="67"/>
        <v>8.934259060822387E-3</v>
      </c>
    </row>
    <row r="232" spans="1:37" ht="14.5" x14ac:dyDescent="0.35">
      <c r="A232" s="1">
        <v>44963</v>
      </c>
      <c r="B232">
        <v>53.751399999999997</v>
      </c>
      <c r="D232" s="12">
        <f t="shared" si="57"/>
        <v>2.7887645717182841E-5</v>
      </c>
      <c r="E232" s="13">
        <f t="shared" si="51"/>
        <v>2.7887645717182841E-5</v>
      </c>
      <c r="F232" s="6"/>
      <c r="G232">
        <v>1048.910034</v>
      </c>
      <c r="H232" s="9">
        <f t="shared" si="52"/>
        <v>7.9125565882425181E-4</v>
      </c>
      <c r="I232" s="10">
        <f t="shared" si="53"/>
        <v>7.9125565882425181E-4</v>
      </c>
      <c r="J232" s="6"/>
      <c r="K232">
        <v>217.89999399999999</v>
      </c>
      <c r="L232" s="9">
        <f t="shared" si="54"/>
        <v>-5.185819325905958E-3</v>
      </c>
      <c r="M232" s="10">
        <f t="shared" si="58"/>
        <v>-5.185819325905958E-3</v>
      </c>
      <c r="N232" s="6"/>
      <c r="O232">
        <v>118.57</v>
      </c>
      <c r="P232" s="9">
        <f t="shared" si="55"/>
        <v>-1.4000134941384773E-2</v>
      </c>
      <c r="Q232" s="10">
        <f t="shared" si="56"/>
        <v>-1.4000134941384773E-2</v>
      </c>
      <c r="R232" s="6"/>
      <c r="S232">
        <v>7206.830078</v>
      </c>
      <c r="T232" s="28">
        <f t="shared" si="59"/>
        <v>1.9352437269993823E-2</v>
      </c>
      <c r="V232" s="6"/>
      <c r="W232">
        <v>80.050003000000004</v>
      </c>
      <c r="X232" s="27">
        <f t="shared" si="60"/>
        <v>-1.7488943754318546E-3</v>
      </c>
      <c r="Y232" s="26">
        <f t="shared" si="61"/>
        <v>-1.7488943754318546E-3</v>
      </c>
      <c r="Z232" s="6"/>
      <c r="AA232">
        <v>502.60000600000001</v>
      </c>
      <c r="AB232" s="27">
        <f t="shared" si="62"/>
        <v>1.6275353964082459E-2</v>
      </c>
      <c r="AC232" s="26">
        <f t="shared" si="63"/>
        <v>1.6275353964082459E-2</v>
      </c>
      <c r="AD232" s="6"/>
      <c r="AE232">
        <v>2077.23999</v>
      </c>
      <c r="AF232" s="27">
        <f t="shared" si="64"/>
        <v>-4.8910631650221966E-3</v>
      </c>
      <c r="AG232" s="27">
        <f t="shared" si="65"/>
        <v>-4.8910631650221966E-3</v>
      </c>
      <c r="AH232" s="6"/>
      <c r="AI232">
        <v>39.535998999999997</v>
      </c>
      <c r="AJ232" s="27">
        <f t="shared" si="66"/>
        <v>8.6680748853723236E-3</v>
      </c>
      <c r="AK232" s="27">
        <f t="shared" si="67"/>
        <v>8.6680748853723236E-3</v>
      </c>
    </row>
    <row r="233" spans="1:37" ht="14.5" x14ac:dyDescent="0.35">
      <c r="A233" s="1">
        <v>44964</v>
      </c>
      <c r="B233">
        <v>53.752898999999999</v>
      </c>
      <c r="D233" s="12">
        <f t="shared" si="57"/>
        <v>6.3308213385825243E-5</v>
      </c>
      <c r="E233" s="13">
        <f t="shared" si="51"/>
        <v>6.3308213385825243E-5</v>
      </c>
      <c r="F233" s="6"/>
      <c r="G233">
        <v>1049.73999</v>
      </c>
      <c r="H233" s="9">
        <f t="shared" si="52"/>
        <v>-1</v>
      </c>
      <c r="I233" s="10" t="str">
        <f t="shared" si="53"/>
        <v/>
      </c>
      <c r="J233" s="6"/>
      <c r="K233">
        <v>216.770004</v>
      </c>
      <c r="L233" s="9">
        <f t="shared" si="54"/>
        <v>1.3654988907044537E-2</v>
      </c>
      <c r="M233" s="10">
        <f t="shared" si="58"/>
        <v>1.3654988907044537E-2</v>
      </c>
      <c r="N233" s="6"/>
      <c r="O233">
        <v>116.910004</v>
      </c>
      <c r="P233" s="9">
        <f t="shared" si="55"/>
        <v>-1.1461842050745354E-2</v>
      </c>
      <c r="Q233" s="10">
        <f t="shared" si="56"/>
        <v>-1.1461842050745354E-2</v>
      </c>
      <c r="R233" s="6"/>
      <c r="S233">
        <v>7346.2998049999997</v>
      </c>
      <c r="T233" s="28">
        <f t="shared" si="59"/>
        <v>-4.786037724198125E-3</v>
      </c>
      <c r="V233" s="6"/>
      <c r="W233">
        <v>79.910004000000001</v>
      </c>
      <c r="X233" s="27">
        <f t="shared" si="60"/>
        <v>2.7405755104204458E-2</v>
      </c>
      <c r="Y233" s="26">
        <f t="shared" si="61"/>
        <v>2.7405755104204458E-2</v>
      </c>
      <c r="Z233" s="6"/>
      <c r="AA233">
        <v>510.77999899999998</v>
      </c>
      <c r="AB233" s="27">
        <f t="shared" si="62"/>
        <v>3.543654809396694E-3</v>
      </c>
      <c r="AC233" s="26">
        <f t="shared" si="63"/>
        <v>3.543654809396694E-3</v>
      </c>
      <c r="AD233" s="6"/>
      <c r="AE233">
        <v>2067.080078</v>
      </c>
      <c r="AF233" s="27">
        <f t="shared" si="64"/>
        <v>1.8209208922577613E-2</v>
      </c>
      <c r="AG233" s="27">
        <f t="shared" si="65"/>
        <v>1.8209208922577613E-2</v>
      </c>
      <c r="AH233" s="6"/>
      <c r="AI233">
        <v>39.878700000000002</v>
      </c>
      <c r="AJ233" s="27">
        <f t="shared" si="66"/>
        <v>1.1612740635978471E-2</v>
      </c>
      <c r="AK233" s="27">
        <f t="shared" si="67"/>
        <v>1.1612740635978471E-2</v>
      </c>
    </row>
    <row r="234" spans="1:37" ht="14.5" x14ac:dyDescent="0.35">
      <c r="A234" s="1">
        <v>44965</v>
      </c>
      <c r="B234">
        <v>53.756301999999998</v>
      </c>
      <c r="D234" s="12">
        <f t="shared" si="57"/>
        <v>-1</v>
      </c>
      <c r="E234" s="13" t="str">
        <f t="shared" si="51"/>
        <v/>
      </c>
      <c r="F234" s="6"/>
      <c r="G234" t="s">
        <v>42</v>
      </c>
      <c r="H234" s="9">
        <f t="shared" si="52"/>
        <v>-1</v>
      </c>
      <c r="I234" s="10" t="str">
        <f t="shared" si="53"/>
        <v/>
      </c>
      <c r="J234" s="6"/>
      <c r="K234">
        <v>219.729996</v>
      </c>
      <c r="L234" s="9">
        <f t="shared" si="54"/>
        <v>-2.7305329764811594E-4</v>
      </c>
      <c r="M234" s="10">
        <f t="shared" si="58"/>
        <v>-2.7305329764811594E-4</v>
      </c>
      <c r="N234" s="6"/>
      <c r="O234">
        <v>115.57</v>
      </c>
      <c r="P234" s="9">
        <f t="shared" si="55"/>
        <v>1.2027334083239622E-2</v>
      </c>
      <c r="Q234" s="10">
        <f t="shared" si="56"/>
        <v>1.2027334083239622E-2</v>
      </c>
      <c r="R234" s="6"/>
      <c r="S234">
        <v>7311.1401370000003</v>
      </c>
      <c r="T234" s="28">
        <f t="shared" si="59"/>
        <v>6.8484289812210507E-3</v>
      </c>
      <c r="V234" s="6"/>
      <c r="W234">
        <v>82.099997999999999</v>
      </c>
      <c r="X234" s="27">
        <f t="shared" si="60"/>
        <v>-2.6431157769333836E-2</v>
      </c>
      <c r="Y234" s="26">
        <f t="shared" si="61"/>
        <v>-2.6431157769333836E-2</v>
      </c>
      <c r="Z234" s="6"/>
      <c r="AA234">
        <v>512.59002699999996</v>
      </c>
      <c r="AB234" s="27">
        <f t="shared" si="62"/>
        <v>-2.4776525743837544E-3</v>
      </c>
      <c r="AC234" s="26">
        <f t="shared" si="63"/>
        <v>-2.4776525743837544E-3</v>
      </c>
      <c r="AD234" s="6"/>
      <c r="AE234">
        <v>2104.719971</v>
      </c>
      <c r="AF234" s="27">
        <f t="shared" si="64"/>
        <v>-9.5357431280818482E-3</v>
      </c>
      <c r="AG234" s="27">
        <f t="shared" si="65"/>
        <v>-9.5357431280818482E-3</v>
      </c>
      <c r="AH234" s="6"/>
      <c r="AI234">
        <v>40.341800999999997</v>
      </c>
      <c r="AJ234" s="27">
        <f t="shared" si="66"/>
        <v>-1.7708728472484406E-2</v>
      </c>
      <c r="AK234" s="27">
        <f t="shared" si="67"/>
        <v>-1.7708728472484406E-2</v>
      </c>
    </row>
    <row r="235" spans="1:37" ht="14.5" x14ac:dyDescent="0.35">
      <c r="A235" s="1">
        <v>44966</v>
      </c>
      <c r="B235" t="s">
        <v>42</v>
      </c>
      <c r="D235" s="12">
        <f t="shared" si="57"/>
        <v>-1</v>
      </c>
      <c r="E235" s="13" t="str">
        <f t="shared" si="51"/>
        <v/>
      </c>
      <c r="F235" s="6"/>
      <c r="G235">
        <v>1047.920044</v>
      </c>
      <c r="H235" s="9">
        <f t="shared" si="52"/>
        <v>-1</v>
      </c>
      <c r="I235" s="10" t="str">
        <f t="shared" si="53"/>
        <v/>
      </c>
      <c r="J235" s="6"/>
      <c r="K235">
        <v>219.66999799999999</v>
      </c>
      <c r="L235" s="9">
        <f t="shared" si="54"/>
        <v>3.4597123272154971E-3</v>
      </c>
      <c r="M235" s="10">
        <f t="shared" si="58"/>
        <v>3.4597123272154971E-3</v>
      </c>
      <c r="N235" s="6"/>
      <c r="O235">
        <v>116.959999</v>
      </c>
      <c r="P235" s="9">
        <f t="shared" si="55"/>
        <v>4.0184764365465715E-3</v>
      </c>
      <c r="Q235" s="10">
        <f t="shared" si="56"/>
        <v>4.0184764365465715E-3</v>
      </c>
      <c r="R235" s="6"/>
      <c r="S235">
        <v>7361.2099609999996</v>
      </c>
      <c r="T235" s="28">
        <f t="shared" si="59"/>
        <v>-5.607744544538433E-3</v>
      </c>
      <c r="V235" s="6"/>
      <c r="W235">
        <v>79.930000000000007</v>
      </c>
      <c r="X235" s="27">
        <f t="shared" si="60"/>
        <v>-1.0133829600900911E-2</v>
      </c>
      <c r="Y235" s="26">
        <f t="shared" si="61"/>
        <v>-1.0133829600900911E-2</v>
      </c>
      <c r="Z235" s="6"/>
      <c r="AA235">
        <v>511.32000699999998</v>
      </c>
      <c r="AB235" s="27">
        <f t="shared" si="62"/>
        <v>-2.3742497523669071E-2</v>
      </c>
      <c r="AC235" s="26">
        <f t="shared" si="63"/>
        <v>-2.3742497523669071E-2</v>
      </c>
      <c r="AD235" s="6"/>
      <c r="AE235">
        <v>2084.6499020000001</v>
      </c>
      <c r="AF235" s="27">
        <f t="shared" si="64"/>
        <v>-4.6290276322859085E-3</v>
      </c>
      <c r="AG235" s="27">
        <f t="shared" si="65"/>
        <v>-4.6290276322859085E-3</v>
      </c>
      <c r="AH235" s="6"/>
      <c r="AI235">
        <v>39.627398999999997</v>
      </c>
      <c r="AJ235" s="27">
        <f t="shared" si="66"/>
        <v>-1.3155064757088752E-2</v>
      </c>
      <c r="AK235" s="27">
        <f t="shared" si="67"/>
        <v>-1.3155064757088752E-2</v>
      </c>
    </row>
    <row r="236" spans="1:37" ht="14.5" x14ac:dyDescent="0.35">
      <c r="A236" s="1">
        <v>44967</v>
      </c>
      <c r="B236">
        <v>53.773601999999997</v>
      </c>
      <c r="D236" s="12">
        <f t="shared" si="57"/>
        <v>3.715577766206527E-5</v>
      </c>
      <c r="E236" s="13">
        <f t="shared" si="51"/>
        <v>3.715577766206527E-5</v>
      </c>
      <c r="F236" s="6"/>
      <c r="G236" t="s">
        <v>42</v>
      </c>
      <c r="H236" s="9">
        <f t="shared" si="52"/>
        <v>-1</v>
      </c>
      <c r="I236" s="10" t="str">
        <f t="shared" si="53"/>
        <v/>
      </c>
      <c r="J236" s="6"/>
      <c r="K236">
        <v>220.429993</v>
      </c>
      <c r="L236" s="9">
        <f t="shared" si="54"/>
        <v>-1.2974577375230386E-2</v>
      </c>
      <c r="M236" s="10">
        <f t="shared" si="58"/>
        <v>-1.2974577375230386E-2</v>
      </c>
      <c r="N236" s="6"/>
      <c r="O236">
        <v>117.43</v>
      </c>
      <c r="P236" s="9">
        <f t="shared" si="55"/>
        <v>-1.1155556501745803E-2</v>
      </c>
      <c r="Q236" s="10">
        <f t="shared" si="56"/>
        <v>-1.1155556501745803E-2</v>
      </c>
      <c r="R236" s="6"/>
      <c r="S236">
        <v>7319.9301759999998</v>
      </c>
      <c r="T236" s="28">
        <f t="shared" si="59"/>
        <v>-5.114794963858406E-3</v>
      </c>
      <c r="V236" s="6"/>
      <c r="W236">
        <v>79.120002999999997</v>
      </c>
      <c r="X236" s="27">
        <f t="shared" si="60"/>
        <v>-1.5040482240628709E-2</v>
      </c>
      <c r="Y236" s="26">
        <f t="shared" si="61"/>
        <v>-1.5040482240628709E-2</v>
      </c>
      <c r="Z236" s="6"/>
      <c r="AA236">
        <v>499.17999300000002</v>
      </c>
      <c r="AB236" s="27">
        <f t="shared" si="62"/>
        <v>-1.0937922345777987E-2</v>
      </c>
      <c r="AC236" s="26">
        <f t="shared" si="63"/>
        <v>-1.0937922345777987E-2</v>
      </c>
      <c r="AD236" s="6"/>
      <c r="AE236">
        <v>2075</v>
      </c>
      <c r="AF236" s="27">
        <f t="shared" si="64"/>
        <v>-2.8481503614458201E-3</v>
      </c>
      <c r="AG236" s="27">
        <f t="shared" si="65"/>
        <v>-2.8481503614458201E-3</v>
      </c>
      <c r="AH236" s="6"/>
      <c r="AI236">
        <v>39.106098000000003</v>
      </c>
      <c r="AJ236" s="27">
        <f t="shared" si="66"/>
        <v>-2.4576678552792448E-2</v>
      </c>
      <c r="AK236" s="27">
        <f t="shared" si="67"/>
        <v>-2.4576678552792448E-2</v>
      </c>
    </row>
    <row r="237" spans="1:37" ht="14.5" x14ac:dyDescent="0.35">
      <c r="A237" s="1">
        <v>44970</v>
      </c>
      <c r="B237">
        <v>53.775599999999997</v>
      </c>
      <c r="D237" s="12">
        <f t="shared" si="57"/>
        <v>7.6261352732571715E-5</v>
      </c>
      <c r="E237" s="13">
        <f t="shared" si="51"/>
        <v>7.6261352732571715E-5</v>
      </c>
      <c r="F237" s="6"/>
      <c r="G237">
        <v>1049.1800539999999</v>
      </c>
      <c r="H237" s="9">
        <f t="shared" si="52"/>
        <v>-1</v>
      </c>
      <c r="I237" s="10" t="str">
        <f t="shared" si="53"/>
        <v/>
      </c>
      <c r="J237" s="6"/>
      <c r="K237">
        <v>217.570007</v>
      </c>
      <c r="L237" s="9">
        <f t="shared" si="54"/>
        <v>-1.195059023002176E-3</v>
      </c>
      <c r="M237" s="10">
        <f t="shared" si="58"/>
        <v>-1.195059023002176E-3</v>
      </c>
      <c r="N237" s="6"/>
      <c r="O237">
        <v>116.120003</v>
      </c>
      <c r="P237" s="9">
        <f t="shared" si="55"/>
        <v>2.4112899824847893E-3</v>
      </c>
      <c r="Q237" s="10">
        <f t="shared" si="56"/>
        <v>2.4112899824847893E-3</v>
      </c>
      <c r="R237" s="6"/>
      <c r="S237">
        <v>7282.4902339999999</v>
      </c>
      <c r="T237" s="28">
        <f t="shared" si="59"/>
        <v>3.6442961332229158E-3</v>
      </c>
      <c r="V237" s="6"/>
      <c r="W237">
        <v>77.930000000000007</v>
      </c>
      <c r="X237" s="27">
        <f t="shared" si="60"/>
        <v>3.8494803028345242E-4</v>
      </c>
      <c r="Y237" s="26">
        <f t="shared" si="61"/>
        <v>3.8494803028345242E-4</v>
      </c>
      <c r="Z237" s="6"/>
      <c r="AA237">
        <v>493.72000100000002</v>
      </c>
      <c r="AB237" s="27">
        <f t="shared" si="62"/>
        <v>-7.0687636573994782E-3</v>
      </c>
      <c r="AC237" s="26">
        <f t="shared" si="63"/>
        <v>-7.0687636573994782E-3</v>
      </c>
      <c r="AD237" s="6"/>
      <c r="AE237">
        <v>2069.0900879999999</v>
      </c>
      <c r="AF237" s="27">
        <f t="shared" si="64"/>
        <v>1.0550451199107054E-2</v>
      </c>
      <c r="AG237" s="27">
        <f t="shared" si="65"/>
        <v>1.0550451199107054E-2</v>
      </c>
      <c r="AH237" s="6"/>
      <c r="AI237">
        <v>38.145000000000003</v>
      </c>
      <c r="AJ237" s="27">
        <f t="shared" si="66"/>
        <v>8.9655262812934509E-4</v>
      </c>
      <c r="AK237" s="27">
        <f t="shared" si="67"/>
        <v>8.9655262812934509E-4</v>
      </c>
    </row>
    <row r="238" spans="1:37" ht="14.5" x14ac:dyDescent="0.35">
      <c r="A238" s="1">
        <v>44971</v>
      </c>
      <c r="B238">
        <v>53.779701000000003</v>
      </c>
      <c r="D238" s="12">
        <f t="shared" si="57"/>
        <v>-1</v>
      </c>
      <c r="E238" s="13" t="str">
        <f t="shared" si="51"/>
        <v/>
      </c>
      <c r="F238" s="6"/>
      <c r="G238" t="s">
        <v>42</v>
      </c>
      <c r="H238" s="9">
        <f t="shared" si="52"/>
        <v>-1</v>
      </c>
      <c r="I238" s="10" t="str">
        <f t="shared" si="53"/>
        <v/>
      </c>
      <c r="J238" s="6"/>
      <c r="K238">
        <v>217.30999800000001</v>
      </c>
      <c r="L238" s="9">
        <f t="shared" si="54"/>
        <v>-1</v>
      </c>
      <c r="M238" s="10" t="str">
        <f t="shared" si="58"/>
        <v/>
      </c>
      <c r="N238" s="6"/>
      <c r="O238">
        <v>116.400002</v>
      </c>
      <c r="P238" s="9">
        <f t="shared" si="55"/>
        <v>-1.3746047873779306E-3</v>
      </c>
      <c r="Q238" s="10">
        <f t="shared" si="56"/>
        <v>-1.3746047873779306E-3</v>
      </c>
      <c r="R238" s="6"/>
      <c r="S238">
        <v>7309.0297849999997</v>
      </c>
      <c r="T238" s="28">
        <f t="shared" si="59"/>
        <v>6.9407270858454174E-3</v>
      </c>
      <c r="V238" s="6"/>
      <c r="W238">
        <v>77.959998999999996</v>
      </c>
      <c r="X238" s="27">
        <f t="shared" si="60"/>
        <v>1.1929194611713718E-2</v>
      </c>
      <c r="Y238" s="26">
        <f t="shared" si="61"/>
        <v>1.1929194611713718E-2</v>
      </c>
      <c r="Z238" s="6"/>
      <c r="AA238">
        <v>490.23001099999999</v>
      </c>
      <c r="AB238" s="27">
        <f t="shared" si="62"/>
        <v>1.0872420864499088E-2</v>
      </c>
      <c r="AC238" s="26">
        <f t="shared" si="63"/>
        <v>1.0872420864499088E-2</v>
      </c>
      <c r="AD238" s="6"/>
      <c r="AE238">
        <v>2090.919922</v>
      </c>
      <c r="AF238" s="27">
        <f t="shared" si="64"/>
        <v>5.9686551688037668E-3</v>
      </c>
      <c r="AG238" s="27">
        <f t="shared" si="65"/>
        <v>5.9686551688037668E-3</v>
      </c>
      <c r="AH238" s="6"/>
      <c r="AI238">
        <v>38.179198999999997</v>
      </c>
      <c r="AJ238" s="27">
        <f t="shared" si="66"/>
        <v>1.0063097447382395E-2</v>
      </c>
      <c r="AK238" s="27">
        <f t="shared" si="67"/>
        <v>1.0063097447382395E-2</v>
      </c>
    </row>
    <row r="239" spans="1:37" ht="14.5" x14ac:dyDescent="0.35">
      <c r="A239" s="1">
        <v>44972</v>
      </c>
      <c r="B239" t="s">
        <v>42</v>
      </c>
      <c r="D239" s="12">
        <f t="shared" si="57"/>
        <v>-1</v>
      </c>
      <c r="E239" s="13" t="str">
        <f t="shared" si="51"/>
        <v/>
      </c>
      <c r="F239" s="6"/>
      <c r="G239">
        <v>1043.8199460000001</v>
      </c>
      <c r="H239" s="9">
        <f t="shared" si="52"/>
        <v>-1.2549444039845039E-3</v>
      </c>
      <c r="I239" s="10">
        <f t="shared" si="53"/>
        <v>-1.2549444039845039E-3</v>
      </c>
      <c r="J239" s="6"/>
      <c r="K239" t="s">
        <v>42</v>
      </c>
      <c r="L239" s="9">
        <f t="shared" si="54"/>
        <v>-1</v>
      </c>
      <c r="M239" s="10" t="str">
        <f t="shared" si="58"/>
        <v/>
      </c>
      <c r="N239" s="6"/>
      <c r="O239">
        <v>116.239998</v>
      </c>
      <c r="P239" s="9">
        <f t="shared" si="55"/>
        <v>-8.0006883689038508E-3</v>
      </c>
      <c r="Q239" s="10">
        <f t="shared" si="56"/>
        <v>-8.0006883689038508E-3</v>
      </c>
      <c r="R239" s="6"/>
      <c r="S239">
        <v>7359.7597660000001</v>
      </c>
      <c r="T239" s="28">
        <f t="shared" si="59"/>
        <v>-1.5860569463049565E-2</v>
      </c>
      <c r="V239" s="6"/>
      <c r="W239">
        <v>78.889999000000003</v>
      </c>
      <c r="X239" s="27">
        <f t="shared" si="60"/>
        <v>-2.6746102506605425E-2</v>
      </c>
      <c r="Y239" s="26">
        <f t="shared" si="61"/>
        <v>-2.6746102506605425E-2</v>
      </c>
      <c r="Z239" s="6"/>
      <c r="AA239">
        <v>495.55999800000001</v>
      </c>
      <c r="AB239" s="27">
        <f t="shared" si="62"/>
        <v>-1</v>
      </c>
      <c r="AC239" s="26" t="str">
        <f t="shared" si="63"/>
        <v/>
      </c>
      <c r="AD239" s="6"/>
      <c r="AE239">
        <v>2103.3999020000001</v>
      </c>
      <c r="AF239" s="27">
        <f t="shared" si="64"/>
        <v>1.2674792356246767E-2</v>
      </c>
      <c r="AG239" s="27">
        <f t="shared" si="65"/>
        <v>1.2674792356246767E-2</v>
      </c>
      <c r="AH239" s="6"/>
      <c r="AI239">
        <v>38.563400000000001</v>
      </c>
      <c r="AJ239" s="27">
        <f t="shared" si="66"/>
        <v>-1.7011000067421463E-2</v>
      </c>
      <c r="AK239" s="27">
        <f t="shared" si="67"/>
        <v>-1.7011000067421463E-2</v>
      </c>
    </row>
    <row r="240" spans="1:37" ht="14.5" x14ac:dyDescent="0.35">
      <c r="A240" s="1">
        <v>44973</v>
      </c>
      <c r="B240">
        <v>53.793598000000003</v>
      </c>
      <c r="D240" s="12">
        <f t="shared" si="57"/>
        <v>5.9505222164115562E-5</v>
      </c>
      <c r="E240" s="13">
        <f t="shared" si="51"/>
        <v>5.9505222164115562E-5</v>
      </c>
      <c r="F240" s="6"/>
      <c r="G240">
        <v>1042.51001</v>
      </c>
      <c r="H240" s="9">
        <f t="shared" si="52"/>
        <v>2.8781402300390814E-4</v>
      </c>
      <c r="I240" s="10">
        <f t="shared" si="53"/>
        <v>2.8781402300390814E-4</v>
      </c>
      <c r="J240" s="6"/>
      <c r="K240">
        <v>213.449997</v>
      </c>
      <c r="L240" s="9">
        <f t="shared" si="54"/>
        <v>-2.014490541313974E-3</v>
      </c>
      <c r="M240" s="10">
        <f t="shared" si="58"/>
        <v>-2.014490541313974E-3</v>
      </c>
      <c r="N240" s="6"/>
      <c r="O240">
        <v>115.30999799999999</v>
      </c>
      <c r="P240" s="9">
        <f t="shared" si="55"/>
        <v>-3.8157575893808982E-3</v>
      </c>
      <c r="Q240" s="10">
        <f t="shared" si="56"/>
        <v>-3.8157575893808982E-3</v>
      </c>
      <c r="R240" s="6"/>
      <c r="S240">
        <v>7243.0297849999997</v>
      </c>
      <c r="T240" s="28">
        <f t="shared" si="59"/>
        <v>1.4510852933073662E-3</v>
      </c>
      <c r="V240" s="6"/>
      <c r="W240">
        <v>76.779999000000004</v>
      </c>
      <c r="X240" s="27">
        <f t="shared" si="60"/>
        <v>2.01875881764467E-2</v>
      </c>
      <c r="Y240" s="26">
        <f t="shared" si="61"/>
        <v>2.01875881764467E-2</v>
      </c>
      <c r="Z240" s="6"/>
      <c r="AA240" t="s">
        <v>42</v>
      </c>
      <c r="AB240" s="27">
        <f t="shared" si="62"/>
        <v>-1</v>
      </c>
      <c r="AC240" s="26" t="str">
        <f t="shared" si="63"/>
        <v/>
      </c>
      <c r="AD240" s="6"/>
      <c r="AE240">
        <v>2130.0600589999999</v>
      </c>
      <c r="AF240" s="27">
        <f t="shared" si="64"/>
        <v>-2.044545589970144E-2</v>
      </c>
      <c r="AG240" s="27">
        <f t="shared" si="65"/>
        <v>-2.044545589970144E-2</v>
      </c>
      <c r="AH240" s="6"/>
      <c r="AI240">
        <v>37.907398000000001</v>
      </c>
      <c r="AJ240" s="27">
        <f t="shared" si="66"/>
        <v>3.9386507087614073E-3</v>
      </c>
      <c r="AK240" s="27">
        <f t="shared" si="67"/>
        <v>3.9386507087614073E-3</v>
      </c>
    </row>
    <row r="241" spans="1:37" ht="14.5" x14ac:dyDescent="0.35">
      <c r="A241" s="1">
        <v>44974</v>
      </c>
      <c r="B241">
        <v>53.796799</v>
      </c>
      <c r="D241" s="12">
        <f t="shared" si="57"/>
        <v>5.3962318464402143E-5</v>
      </c>
      <c r="E241" s="13">
        <f t="shared" si="51"/>
        <v>5.3962318464402143E-5</v>
      </c>
      <c r="F241" s="6"/>
      <c r="G241">
        <v>1042.8100589999999</v>
      </c>
      <c r="H241" s="9">
        <f t="shared" si="52"/>
        <v>-1.6206824871065932E-3</v>
      </c>
      <c r="I241" s="10">
        <f t="shared" si="53"/>
        <v>-1.6206824871065932E-3</v>
      </c>
      <c r="J241" s="6"/>
      <c r="K241">
        <v>213.020004</v>
      </c>
      <c r="L241" s="9">
        <f t="shared" si="54"/>
        <v>6.6190450357892019E-3</v>
      </c>
      <c r="M241" s="10">
        <f t="shared" si="58"/>
        <v>6.6190450357892019E-3</v>
      </c>
      <c r="N241" s="6"/>
      <c r="O241">
        <v>114.870003</v>
      </c>
      <c r="P241" s="9">
        <f t="shared" si="55"/>
        <v>4.7879775888924614E-3</v>
      </c>
      <c r="Q241" s="10">
        <f t="shared" si="56"/>
        <v>4.7879775888924614E-3</v>
      </c>
      <c r="R241" s="6"/>
      <c r="S241">
        <v>7253.5400390000004</v>
      </c>
      <c r="T241" s="28">
        <f t="shared" si="59"/>
        <v>3.5568570465293117E-3</v>
      </c>
      <c r="V241" s="6"/>
      <c r="W241">
        <v>78.330001999999993</v>
      </c>
      <c r="X241" s="27">
        <f t="shared" si="60"/>
        <v>-2.5533639077398498E-3</v>
      </c>
      <c r="Y241" s="26">
        <f t="shared" si="61"/>
        <v>-2.5533639077398498E-3</v>
      </c>
      <c r="Z241" s="6"/>
      <c r="AA241">
        <v>493.60998499999999</v>
      </c>
      <c r="AB241" s="27">
        <f t="shared" si="62"/>
        <v>-1.2154737915200368E-4</v>
      </c>
      <c r="AC241" s="26">
        <f t="shared" si="63"/>
        <v>-1.2154737915200368E-4</v>
      </c>
      <c r="AD241" s="6"/>
      <c r="AE241">
        <v>2086.51001</v>
      </c>
      <c r="AF241" s="27">
        <f t="shared" si="64"/>
        <v>-1.1459284587855908E-2</v>
      </c>
      <c r="AG241" s="27">
        <f t="shared" si="65"/>
        <v>-1.1459284587855908E-2</v>
      </c>
      <c r="AH241" s="6"/>
      <c r="AI241">
        <v>38.056702000000001</v>
      </c>
      <c r="AJ241" s="27">
        <f t="shared" si="66"/>
        <v>2.6196962626976726E-3</v>
      </c>
      <c r="AK241" s="27">
        <f t="shared" si="67"/>
        <v>2.6196962626976726E-3</v>
      </c>
    </row>
    <row r="242" spans="1:37" ht="14.5" x14ac:dyDescent="0.35">
      <c r="A242" s="1">
        <v>44977</v>
      </c>
      <c r="B242">
        <v>53.799702000000003</v>
      </c>
      <c r="D242" s="12">
        <f t="shared" si="57"/>
        <v>4.083665742229095E-5</v>
      </c>
      <c r="E242" s="13">
        <f t="shared" si="51"/>
        <v>4.083665742229095E-5</v>
      </c>
      <c r="F242" s="6"/>
      <c r="G242">
        <v>1041.119995</v>
      </c>
      <c r="H242" s="9">
        <f t="shared" si="52"/>
        <v>8.933206589696967E-4</v>
      </c>
      <c r="I242" s="10">
        <f t="shared" si="53"/>
        <v>8.933206589696967E-4</v>
      </c>
      <c r="J242" s="6"/>
      <c r="K242">
        <v>214.429993</v>
      </c>
      <c r="L242" s="9">
        <f t="shared" si="54"/>
        <v>-1.548287137238299E-2</v>
      </c>
      <c r="M242" s="10">
        <f t="shared" si="58"/>
        <v>-1.548287137238299E-2</v>
      </c>
      <c r="N242" s="6"/>
      <c r="O242">
        <v>115.41999800000001</v>
      </c>
      <c r="P242" s="9">
        <f t="shared" si="55"/>
        <v>-1.6461185521768104E-3</v>
      </c>
      <c r="Q242" s="10">
        <f t="shared" si="56"/>
        <v>-1.6461185521768104E-3</v>
      </c>
      <c r="R242" s="6"/>
      <c r="S242">
        <v>7279.3398440000001</v>
      </c>
      <c r="T242" s="28">
        <f t="shared" si="59"/>
        <v>-1.4139975630460504E-2</v>
      </c>
      <c r="V242" s="6"/>
      <c r="W242">
        <v>78.129997000000003</v>
      </c>
      <c r="X242" s="27">
        <f t="shared" si="60"/>
        <v>1.6766991556392916E-2</v>
      </c>
      <c r="Y242" s="26">
        <f t="shared" si="61"/>
        <v>1.6766991556392916E-2</v>
      </c>
      <c r="Z242" s="6"/>
      <c r="AA242">
        <v>493.54998799999998</v>
      </c>
      <c r="AB242" s="27">
        <f t="shared" si="62"/>
        <v>-1</v>
      </c>
      <c r="AC242" s="26" t="str">
        <f t="shared" si="63"/>
        <v/>
      </c>
      <c r="AD242" s="6"/>
      <c r="AE242">
        <v>2062.6000979999999</v>
      </c>
      <c r="AF242" s="27">
        <f t="shared" si="64"/>
        <v>-2.4823609796996242E-3</v>
      </c>
      <c r="AG242" s="27">
        <f t="shared" si="65"/>
        <v>-2.4823609796996242E-3</v>
      </c>
      <c r="AH242" s="6"/>
      <c r="AI242">
        <v>38.156399</v>
      </c>
      <c r="AJ242" s="27">
        <f t="shared" si="66"/>
        <v>-1.4518403584153539E-3</v>
      </c>
      <c r="AK242" s="27">
        <f t="shared" si="67"/>
        <v>-1.4518403584153539E-3</v>
      </c>
    </row>
    <row r="243" spans="1:37" ht="14.5" x14ac:dyDescent="0.35">
      <c r="A243" s="1">
        <v>44978</v>
      </c>
      <c r="B243">
        <v>53.801898999999999</v>
      </c>
      <c r="D243" s="12">
        <f t="shared" si="57"/>
        <v>-1</v>
      </c>
      <c r="E243" s="13" t="str">
        <f t="shared" si="51"/>
        <v/>
      </c>
      <c r="F243" s="6"/>
      <c r="G243">
        <v>1042.0500489999999</v>
      </c>
      <c r="H243" s="9">
        <f t="shared" si="52"/>
        <v>-1.7850466988460884E-3</v>
      </c>
      <c r="I243" s="10">
        <f t="shared" si="53"/>
        <v>-1.7850466988460884E-3</v>
      </c>
      <c r="J243" s="6"/>
      <c r="K243">
        <v>211.11000100000001</v>
      </c>
      <c r="L243" s="9">
        <f t="shared" si="54"/>
        <v>5.5421249323000686E-3</v>
      </c>
      <c r="M243" s="10">
        <f t="shared" si="58"/>
        <v>5.5421249323000686E-3</v>
      </c>
      <c r="N243" s="6"/>
      <c r="O243">
        <v>115.230003</v>
      </c>
      <c r="P243" s="9">
        <f t="shared" si="55"/>
        <v>-1.2670363290713383E-2</v>
      </c>
      <c r="Q243" s="10">
        <f t="shared" si="56"/>
        <v>-1.2670363290713383E-2</v>
      </c>
      <c r="R243" s="6"/>
      <c r="S243">
        <v>7176.4101559999999</v>
      </c>
      <c r="T243" s="28">
        <f t="shared" si="59"/>
        <v>1.9100054347562595E-2</v>
      </c>
      <c r="V243" s="6"/>
      <c r="W243">
        <v>79.440002000000007</v>
      </c>
      <c r="X243" s="27">
        <f t="shared" si="60"/>
        <v>-1.2210485593895258E-2</v>
      </c>
      <c r="Y243" s="26">
        <f t="shared" si="61"/>
        <v>-1.2210485593895258E-2</v>
      </c>
      <c r="Z243" s="6"/>
      <c r="AA243" t="s">
        <v>42</v>
      </c>
      <c r="AB243" s="27">
        <f t="shared" si="62"/>
        <v>-1</v>
      </c>
      <c r="AC243" s="26" t="str">
        <f t="shared" si="63"/>
        <v/>
      </c>
      <c r="AD243" s="6"/>
      <c r="AE243">
        <v>2057.4799800000001</v>
      </c>
      <c r="AF243" s="27">
        <f t="shared" si="64"/>
        <v>-2.2201883587708166E-2</v>
      </c>
      <c r="AG243" s="27">
        <f t="shared" si="65"/>
        <v>-2.2201883587708166E-2</v>
      </c>
      <c r="AH243" s="6"/>
      <c r="AI243">
        <v>38.101002000000001</v>
      </c>
      <c r="AJ243" s="27">
        <f t="shared" si="66"/>
        <v>6.2202826056909815E-3</v>
      </c>
      <c r="AK243" s="27">
        <f t="shared" si="67"/>
        <v>6.2202826056909815E-3</v>
      </c>
    </row>
    <row r="244" spans="1:37" ht="14.5" x14ac:dyDescent="0.35">
      <c r="A244" s="1">
        <v>44979</v>
      </c>
      <c r="B244" t="s">
        <v>42</v>
      </c>
      <c r="D244" s="12">
        <f t="shared" si="57"/>
        <v>-1</v>
      </c>
      <c r="E244" s="13" t="str">
        <f t="shared" si="51"/>
        <v/>
      </c>
      <c r="F244" s="6"/>
      <c r="G244">
        <v>1040.1899410000001</v>
      </c>
      <c r="H244" s="9">
        <f t="shared" si="52"/>
        <v>-1.4227978388036235E-3</v>
      </c>
      <c r="I244" s="10">
        <f t="shared" si="53"/>
        <v>-1.4227978388036235E-3</v>
      </c>
      <c r="J244" s="6"/>
      <c r="K244">
        <v>212.279999</v>
      </c>
      <c r="L244" s="9">
        <f t="shared" si="54"/>
        <v>-3.2032834143738433E-3</v>
      </c>
      <c r="M244" s="10">
        <f t="shared" si="58"/>
        <v>-3.2032834143738433E-3</v>
      </c>
      <c r="N244" s="6"/>
      <c r="O244">
        <v>113.769997</v>
      </c>
      <c r="P244" s="9">
        <f t="shared" si="55"/>
        <v>-1.0547569936210954E-2</v>
      </c>
      <c r="Q244" s="10">
        <f t="shared" si="56"/>
        <v>-1.0547569936210954E-2</v>
      </c>
      <c r="R244" s="6"/>
      <c r="S244">
        <v>7313.4799800000001</v>
      </c>
      <c r="T244" s="28">
        <f t="shared" si="59"/>
        <v>9.8817553610094019E-3</v>
      </c>
      <c r="V244" s="6"/>
      <c r="W244">
        <v>78.470000999999996</v>
      </c>
      <c r="X244" s="27">
        <f t="shared" si="60"/>
        <v>2.1664291810063956E-2</v>
      </c>
      <c r="Y244" s="26">
        <f t="shared" si="61"/>
        <v>2.1664291810063956E-2</v>
      </c>
      <c r="Z244" s="6"/>
      <c r="AA244">
        <v>487.92001299999998</v>
      </c>
      <c r="AB244" s="27">
        <f t="shared" si="62"/>
        <v>-1</v>
      </c>
      <c r="AC244" s="26" t="str">
        <f t="shared" si="63"/>
        <v/>
      </c>
      <c r="AD244" s="6"/>
      <c r="AE244">
        <v>2011.8000489999999</v>
      </c>
      <c r="AF244" s="27">
        <f t="shared" si="64"/>
        <v>8.2711460357460936E-3</v>
      </c>
      <c r="AG244" s="27">
        <f t="shared" si="65"/>
        <v>8.2711460357460936E-3</v>
      </c>
      <c r="AH244" s="6"/>
      <c r="AI244">
        <v>38.338000999999998</v>
      </c>
      <c r="AJ244" s="27">
        <f t="shared" si="66"/>
        <v>1.4617298382354347E-2</v>
      </c>
      <c r="AK244" s="27">
        <f t="shared" si="67"/>
        <v>1.4617298382354347E-2</v>
      </c>
    </row>
    <row r="245" spans="1:37" ht="14.5" x14ac:dyDescent="0.35">
      <c r="A245" s="1">
        <v>44980</v>
      </c>
      <c r="B245">
        <v>53.817298999999998</v>
      </c>
      <c r="D245" s="12">
        <f t="shared" si="57"/>
        <v>5.9460434831551981E-5</v>
      </c>
      <c r="E245" s="13">
        <f t="shared" si="51"/>
        <v>5.9460434831551981E-5</v>
      </c>
      <c r="F245" s="6"/>
      <c r="G245">
        <v>1038.709961</v>
      </c>
      <c r="H245" s="9">
        <f t="shared" si="52"/>
        <v>-1.1552320137999095E-3</v>
      </c>
      <c r="I245" s="10">
        <f t="shared" si="53"/>
        <v>-1.1552320137999095E-3</v>
      </c>
      <c r="J245" s="6"/>
      <c r="K245">
        <v>211.60000600000001</v>
      </c>
      <c r="L245" s="9">
        <f t="shared" si="54"/>
        <v>-4.0170414739969691E-3</v>
      </c>
      <c r="M245" s="10">
        <f t="shared" si="58"/>
        <v>-4.0170414739969691E-3</v>
      </c>
      <c r="N245" s="6"/>
      <c r="O245">
        <v>112.57</v>
      </c>
      <c r="P245" s="9">
        <f t="shared" si="55"/>
        <v>1.3502673891800713E-2</v>
      </c>
      <c r="Q245" s="10">
        <f t="shared" si="56"/>
        <v>1.3502673891800713E-2</v>
      </c>
      <c r="R245" s="6"/>
      <c r="S245">
        <v>7385.75</v>
      </c>
      <c r="T245" s="28">
        <f t="shared" si="59"/>
        <v>-4.0456125647360943E-3</v>
      </c>
      <c r="V245" s="6"/>
      <c r="W245">
        <v>80.169998000000007</v>
      </c>
      <c r="X245" s="27">
        <f t="shared" si="60"/>
        <v>1.7088724387893797E-2</v>
      </c>
      <c r="Y245" s="26">
        <f t="shared" si="61"/>
        <v>1.7088724387893797E-2</v>
      </c>
      <c r="Z245" s="6"/>
      <c r="AA245" t="s">
        <v>42</v>
      </c>
      <c r="AB245" s="27">
        <f t="shared" si="62"/>
        <v>-1</v>
      </c>
      <c r="AC245" s="26" t="str">
        <f t="shared" si="63"/>
        <v/>
      </c>
      <c r="AD245" s="6"/>
      <c r="AE245">
        <v>2028.4399410000001</v>
      </c>
      <c r="AF245" s="27">
        <f t="shared" si="64"/>
        <v>1.1437337399579403E-2</v>
      </c>
      <c r="AG245" s="27">
        <f t="shared" si="65"/>
        <v>1.1437337399579403E-2</v>
      </c>
      <c r="AH245" s="6"/>
      <c r="AI245">
        <v>38.898398999999998</v>
      </c>
      <c r="AJ245" s="27">
        <f t="shared" si="66"/>
        <v>-2.9872437680531433E-3</v>
      </c>
      <c r="AK245" s="27">
        <f t="shared" si="67"/>
        <v>-2.9872437680531433E-3</v>
      </c>
    </row>
    <row r="246" spans="1:37" ht="14.5" x14ac:dyDescent="0.35">
      <c r="A246" s="1">
        <v>44981</v>
      </c>
      <c r="B246">
        <v>53.820498999999998</v>
      </c>
      <c r="D246" s="12">
        <f t="shared" si="57"/>
        <v>5.7636031951290228E-5</v>
      </c>
      <c r="E246" s="13">
        <f t="shared" si="51"/>
        <v>5.7636031951290228E-5</v>
      </c>
      <c r="F246" s="6"/>
      <c r="G246">
        <v>1037.51001</v>
      </c>
      <c r="H246" s="9">
        <f t="shared" si="52"/>
        <v>-1.9180441449427889E-3</v>
      </c>
      <c r="I246" s="10">
        <f t="shared" si="53"/>
        <v>-1.9180441449427889E-3</v>
      </c>
      <c r="J246" s="6"/>
      <c r="K246">
        <v>210.75</v>
      </c>
      <c r="L246" s="9">
        <f t="shared" si="54"/>
        <v>8.0664151838671233E-3</v>
      </c>
      <c r="M246" s="10">
        <f t="shared" si="58"/>
        <v>8.0664151838671233E-3</v>
      </c>
      <c r="N246" s="6"/>
      <c r="O246">
        <v>114.089996</v>
      </c>
      <c r="P246" s="9">
        <f t="shared" si="55"/>
        <v>-1.3498054641004594E-2</v>
      </c>
      <c r="Q246" s="10">
        <f t="shared" si="56"/>
        <v>-1.3498054641004594E-2</v>
      </c>
      <c r="R246" s="6"/>
      <c r="S246">
        <v>7355.8701170000004</v>
      </c>
      <c r="T246" s="28">
        <f t="shared" si="59"/>
        <v>-6.7905216113810221E-3</v>
      </c>
      <c r="V246" s="6"/>
      <c r="W246">
        <v>81.540001000000004</v>
      </c>
      <c r="X246" s="27">
        <f t="shared" si="60"/>
        <v>-9.5658448667421975E-3</v>
      </c>
      <c r="Y246" s="26">
        <f t="shared" si="61"/>
        <v>-9.5658448667421975E-3</v>
      </c>
      <c r="Z246" s="6"/>
      <c r="AA246">
        <v>509.16000400000001</v>
      </c>
      <c r="AB246" s="27">
        <f t="shared" si="62"/>
        <v>-7.2079777892374228E-3</v>
      </c>
      <c r="AC246" s="26">
        <f t="shared" si="63"/>
        <v>-7.2079777892374228E-3</v>
      </c>
      <c r="AD246" s="6"/>
      <c r="AE246">
        <v>2051.639893</v>
      </c>
      <c r="AF246" s="27">
        <f t="shared" si="64"/>
        <v>-1.1814875058095782E-2</v>
      </c>
      <c r="AG246" s="27">
        <f t="shared" si="65"/>
        <v>-1.1814875058095782E-2</v>
      </c>
      <c r="AH246" s="6"/>
      <c r="AI246">
        <v>38.782200000000003</v>
      </c>
      <c r="AJ246" s="27">
        <f t="shared" si="66"/>
        <v>-1.3158098302829669E-2</v>
      </c>
      <c r="AK246" s="27">
        <f t="shared" si="67"/>
        <v>-1.3158098302829669E-2</v>
      </c>
    </row>
    <row r="247" spans="1:37" ht="14.5" x14ac:dyDescent="0.35">
      <c r="A247" s="1">
        <v>44984</v>
      </c>
      <c r="B247">
        <v>53.823600999999996</v>
      </c>
      <c r="D247" s="12">
        <f t="shared" si="57"/>
        <v>8.1711366729288529E-5</v>
      </c>
      <c r="E247" s="13">
        <f t="shared" si="51"/>
        <v>8.1711366729288529E-5</v>
      </c>
      <c r="F247" s="6"/>
      <c r="G247">
        <v>1035.5200199999999</v>
      </c>
      <c r="H247" s="9">
        <f t="shared" si="52"/>
        <v>1.1009096666234079E-3</v>
      </c>
      <c r="I247" s="10">
        <f t="shared" si="53"/>
        <v>1.1009096666234079E-3</v>
      </c>
      <c r="J247" s="6"/>
      <c r="K247">
        <v>212.449997</v>
      </c>
      <c r="L247" s="9">
        <f t="shared" si="54"/>
        <v>1.4779943724828659E-2</v>
      </c>
      <c r="M247" s="10">
        <f t="shared" si="58"/>
        <v>1.4779943724828659E-2</v>
      </c>
      <c r="N247" s="6"/>
      <c r="O247">
        <v>112.550003</v>
      </c>
      <c r="P247" s="9">
        <f t="shared" si="55"/>
        <v>1.3682745081757087E-2</v>
      </c>
      <c r="Q247" s="10">
        <f t="shared" si="56"/>
        <v>1.3682745081757087E-2</v>
      </c>
      <c r="R247" s="6"/>
      <c r="S247">
        <v>7305.919922</v>
      </c>
      <c r="T247" s="28">
        <f t="shared" si="59"/>
        <v>1.5754694991029774E-3</v>
      </c>
      <c r="V247" s="6"/>
      <c r="W247">
        <v>80.760002</v>
      </c>
      <c r="X247" s="27">
        <f t="shared" si="60"/>
        <v>-9.4106238382708311E-3</v>
      </c>
      <c r="Y247" s="26">
        <f t="shared" si="61"/>
        <v>-9.4106238382708311E-3</v>
      </c>
      <c r="Z247" s="6"/>
      <c r="AA247">
        <v>505.48998999999998</v>
      </c>
      <c r="AB247" s="27">
        <f t="shared" si="62"/>
        <v>-1.0979422164225221E-2</v>
      </c>
      <c r="AC247" s="26">
        <f t="shared" si="63"/>
        <v>-1.0979422164225221E-2</v>
      </c>
      <c r="AD247" s="6"/>
      <c r="AE247">
        <v>2027.400024</v>
      </c>
      <c r="AF247" s="27">
        <f t="shared" si="64"/>
        <v>4.2961235557329863E-3</v>
      </c>
      <c r="AG247" s="27">
        <f t="shared" si="65"/>
        <v>4.2961235557329863E-3</v>
      </c>
      <c r="AH247" s="6"/>
      <c r="AI247">
        <v>38.271900000000002</v>
      </c>
      <c r="AJ247" s="27">
        <f t="shared" si="66"/>
        <v>1.191997261698519E-2</v>
      </c>
      <c r="AK247" s="27">
        <f t="shared" si="67"/>
        <v>1.191997261698519E-2</v>
      </c>
    </row>
    <row r="248" spans="1:37" ht="14.5" x14ac:dyDescent="0.35">
      <c r="A248" s="1">
        <v>44985</v>
      </c>
      <c r="B248">
        <v>53.827998999999998</v>
      </c>
      <c r="D248" s="12">
        <f t="shared" si="57"/>
        <v>-1</v>
      </c>
      <c r="E248" s="13" t="str">
        <f t="shared" si="51"/>
        <v/>
      </c>
      <c r="F248" s="6"/>
      <c r="G248">
        <v>1036.660034</v>
      </c>
      <c r="H248" s="9">
        <f t="shared" si="52"/>
        <v>-9.4532437622657376E-4</v>
      </c>
      <c r="I248" s="10">
        <f t="shared" si="53"/>
        <v>-9.4532437622657376E-4</v>
      </c>
      <c r="J248" s="6"/>
      <c r="K248">
        <v>215.58999600000001</v>
      </c>
      <c r="L248" s="9">
        <f t="shared" si="54"/>
        <v>3.3861079528012534E-3</v>
      </c>
      <c r="M248" s="10">
        <f t="shared" si="58"/>
        <v>3.3861079528012534E-3</v>
      </c>
      <c r="N248" s="6"/>
      <c r="O248">
        <v>114.089996</v>
      </c>
      <c r="P248" s="9">
        <f t="shared" si="55"/>
        <v>-8.7597513808362768E-5</v>
      </c>
      <c r="Q248" s="10">
        <f t="shared" si="56"/>
        <v>-8.7597513808362768E-5</v>
      </c>
      <c r="R248" s="6"/>
      <c r="S248">
        <v>7317.4301759999998</v>
      </c>
      <c r="T248" s="28">
        <f t="shared" si="59"/>
        <v>-1.6954047529814033E-2</v>
      </c>
      <c r="V248" s="6"/>
      <c r="W248">
        <v>80</v>
      </c>
      <c r="X248" s="27">
        <f t="shared" si="60"/>
        <v>-1.2874987500000046E-2</v>
      </c>
      <c r="Y248" s="26">
        <f t="shared" si="61"/>
        <v>-1.2874987500000046E-2</v>
      </c>
      <c r="Z248" s="6"/>
      <c r="AA248">
        <v>499.94000199999999</v>
      </c>
      <c r="AB248" s="27">
        <f t="shared" si="62"/>
        <v>1.1641412922985166E-2</v>
      </c>
      <c r="AC248" s="26">
        <f t="shared" si="63"/>
        <v>1.1641412922985166E-2</v>
      </c>
      <c r="AD248" s="6"/>
      <c r="AE248">
        <v>2036.1099850000001</v>
      </c>
      <c r="AF248" s="27">
        <f t="shared" si="64"/>
        <v>1.0756118363615277E-3</v>
      </c>
      <c r="AG248" s="27">
        <f t="shared" si="65"/>
        <v>1.0756118363615277E-3</v>
      </c>
      <c r="AH248" s="6"/>
      <c r="AI248">
        <v>38.728099999999998</v>
      </c>
      <c r="AJ248" s="27">
        <f t="shared" si="66"/>
        <v>-1.7114188405834452E-2</v>
      </c>
      <c r="AK248" s="27">
        <f t="shared" si="67"/>
        <v>-1.7114188405834452E-2</v>
      </c>
    </row>
    <row r="249" spans="1:37" ht="14.5" x14ac:dyDescent="0.35">
      <c r="A249" s="1">
        <v>44986</v>
      </c>
      <c r="B249" t="s">
        <v>42</v>
      </c>
      <c r="D249" s="12">
        <f t="shared" si="57"/>
        <v>-1</v>
      </c>
      <c r="E249" s="13" t="str">
        <f t="shared" si="51"/>
        <v/>
      </c>
      <c r="F249" s="6"/>
      <c r="G249">
        <v>1035.6800539999999</v>
      </c>
      <c r="H249" s="9">
        <f t="shared" si="52"/>
        <v>-1.9600937491839514E-3</v>
      </c>
      <c r="I249" s="10">
        <f t="shared" si="53"/>
        <v>-1.9600937491839514E-3</v>
      </c>
      <c r="J249" s="6"/>
      <c r="K249">
        <v>216.320007</v>
      </c>
      <c r="L249" s="9">
        <f t="shared" si="54"/>
        <v>-1.3868342746494086E-2</v>
      </c>
      <c r="M249" s="10">
        <f t="shared" si="58"/>
        <v>-1.3868342746494086E-2</v>
      </c>
      <c r="N249" s="6"/>
      <c r="O249">
        <v>114.08000199999999</v>
      </c>
      <c r="P249" s="9">
        <f t="shared" si="55"/>
        <v>-2.656029932397783E-2</v>
      </c>
      <c r="Q249" s="10">
        <f t="shared" si="56"/>
        <v>-2.656029932397783E-2</v>
      </c>
      <c r="R249" s="6"/>
      <c r="S249">
        <v>7193.3701170000004</v>
      </c>
      <c r="T249" s="28">
        <f t="shared" si="59"/>
        <v>2.5120108803097811E-3</v>
      </c>
      <c r="V249" s="6"/>
      <c r="W249">
        <v>78.970000999999996</v>
      </c>
      <c r="X249" s="27">
        <f t="shared" si="60"/>
        <v>-1</v>
      </c>
      <c r="Y249" s="26" t="str">
        <f t="shared" si="61"/>
        <v/>
      </c>
      <c r="Z249" s="6"/>
      <c r="AA249">
        <v>505.76001000000002</v>
      </c>
      <c r="AB249" s="27">
        <f t="shared" si="62"/>
        <v>-5.3404795685605945E-2</v>
      </c>
      <c r="AC249" s="26">
        <f t="shared" si="63"/>
        <v>-5.3404795685605945E-2</v>
      </c>
      <c r="AD249" s="6"/>
      <c r="AE249">
        <v>2038.3000489999999</v>
      </c>
      <c r="AF249" s="27">
        <f t="shared" si="64"/>
        <v>-4.072403375583482E-4</v>
      </c>
      <c r="AG249" s="27">
        <f t="shared" si="65"/>
        <v>-4.072403375583482E-4</v>
      </c>
      <c r="AH249" s="6"/>
      <c r="AI249">
        <v>38.065300000000001</v>
      </c>
      <c r="AJ249" s="27">
        <f t="shared" si="66"/>
        <v>-2.1087447097487777E-2</v>
      </c>
      <c r="AK249" s="27">
        <f t="shared" si="67"/>
        <v>-2.1087447097487777E-2</v>
      </c>
    </row>
    <row r="250" spans="1:37" ht="14.5" x14ac:dyDescent="0.35">
      <c r="A250" s="1">
        <v>44987</v>
      </c>
      <c r="B250">
        <v>53.847197999999999</v>
      </c>
      <c r="D250" s="12">
        <f t="shared" si="57"/>
        <v>1.2632040760970364E-4</v>
      </c>
      <c r="E250" s="13">
        <f t="shared" si="51"/>
        <v>1.2632040760970364E-4</v>
      </c>
      <c r="F250" s="6"/>
      <c r="G250">
        <v>1033.650024</v>
      </c>
      <c r="H250" s="9">
        <f t="shared" si="52"/>
        <v>-1.0158641470704021E-3</v>
      </c>
      <c r="I250" s="10">
        <f t="shared" si="53"/>
        <v>-1.0158641470704021E-3</v>
      </c>
      <c r="J250" s="6"/>
      <c r="K250">
        <v>213.320007</v>
      </c>
      <c r="L250" s="9">
        <f t="shared" si="54"/>
        <v>1.2188026976766577E-3</v>
      </c>
      <c r="M250" s="10">
        <f t="shared" si="58"/>
        <v>1.2188026976766577E-3</v>
      </c>
      <c r="N250" s="6"/>
      <c r="O250">
        <v>111.050003</v>
      </c>
      <c r="P250" s="9">
        <f t="shared" si="55"/>
        <v>6.4835117564112071E-3</v>
      </c>
      <c r="Q250" s="10">
        <f t="shared" si="56"/>
        <v>6.4835117564112071E-3</v>
      </c>
      <c r="R250" s="6"/>
      <c r="S250">
        <v>7211.4399409999996</v>
      </c>
      <c r="T250" s="28">
        <f t="shared" si="59"/>
        <v>-2.5268147206496908E-2</v>
      </c>
      <c r="V250" s="6"/>
      <c r="W250" t="s">
        <v>42</v>
      </c>
      <c r="X250" s="27">
        <f t="shared" si="60"/>
        <v>-1</v>
      </c>
      <c r="Y250" s="26" t="str">
        <f t="shared" si="61"/>
        <v/>
      </c>
      <c r="Z250" s="6"/>
      <c r="AA250">
        <v>478.75</v>
      </c>
      <c r="AB250" s="27">
        <f t="shared" si="62"/>
        <v>-2.047020365535228E-3</v>
      </c>
      <c r="AC250" s="26">
        <f t="shared" si="63"/>
        <v>-2.047020365535228E-3</v>
      </c>
      <c r="AD250" s="6"/>
      <c r="AE250">
        <v>2037.469971</v>
      </c>
      <c r="AF250" s="27">
        <f t="shared" si="64"/>
        <v>9.6345601551935233E-3</v>
      </c>
      <c r="AG250" s="27">
        <f t="shared" si="65"/>
        <v>9.6345601551935233E-3</v>
      </c>
      <c r="AH250" s="6"/>
      <c r="AI250">
        <v>37.262599999999999</v>
      </c>
      <c r="AJ250" s="27">
        <f t="shared" si="66"/>
        <v>-2.6809455056813168E-3</v>
      </c>
      <c r="AK250" s="27">
        <f t="shared" si="67"/>
        <v>-2.6809455056813168E-3</v>
      </c>
    </row>
    <row r="251" spans="1:37" ht="14.5" x14ac:dyDescent="0.35">
      <c r="A251" s="1">
        <v>44988</v>
      </c>
      <c r="B251">
        <v>53.853999999999999</v>
      </c>
      <c r="D251" s="12">
        <f t="shared" si="57"/>
        <v>7.4312028818654863E-5</v>
      </c>
      <c r="E251" s="13">
        <f t="shared" si="51"/>
        <v>7.4312028818654863E-5</v>
      </c>
      <c r="F251" s="6"/>
      <c r="G251">
        <v>1032.599976</v>
      </c>
      <c r="H251" s="9">
        <f t="shared" si="52"/>
        <v>3.2923204329042148E-4</v>
      </c>
      <c r="I251" s="10">
        <f t="shared" si="53"/>
        <v>3.2923204329042148E-4</v>
      </c>
      <c r="J251" s="6"/>
      <c r="K251">
        <v>213.58000200000001</v>
      </c>
      <c r="L251" s="9">
        <f t="shared" si="54"/>
        <v>-1.0066527670507332E-2</v>
      </c>
      <c r="M251" s="10">
        <f t="shared" si="58"/>
        <v>-1.0066527670507332E-2</v>
      </c>
      <c r="N251" s="6"/>
      <c r="O251">
        <v>111.769997</v>
      </c>
      <c r="P251" s="9">
        <f t="shared" si="55"/>
        <v>7.2470700701547808E-3</v>
      </c>
      <c r="Q251" s="10">
        <f t="shared" si="56"/>
        <v>7.2470700701547808E-3</v>
      </c>
      <c r="R251" s="6"/>
      <c r="S251">
        <v>7029.2202150000003</v>
      </c>
      <c r="T251" s="28">
        <f t="shared" si="59"/>
        <v>1.3369901230217763E-2</v>
      </c>
      <c r="V251" s="6"/>
      <c r="W251">
        <v>76.690002000000007</v>
      </c>
      <c r="X251" s="27">
        <f t="shared" si="60"/>
        <v>2.868718141381634E-3</v>
      </c>
      <c r="Y251" s="26">
        <f t="shared" si="61"/>
        <v>2.868718141381634E-3</v>
      </c>
      <c r="Z251" s="6"/>
      <c r="AA251">
        <v>477.76998900000001</v>
      </c>
      <c r="AB251" s="27">
        <f t="shared" si="62"/>
        <v>2.3860904331519186E-2</v>
      </c>
      <c r="AC251" s="26">
        <f t="shared" si="63"/>
        <v>2.3860904331519186E-2</v>
      </c>
      <c r="AD251" s="6"/>
      <c r="AE251">
        <v>2057.1000979999999</v>
      </c>
      <c r="AF251" s="27">
        <f t="shared" si="64"/>
        <v>2.038789509600232E-2</v>
      </c>
      <c r="AG251" s="27">
        <f t="shared" si="65"/>
        <v>2.038789509600232E-2</v>
      </c>
      <c r="AH251" s="6"/>
      <c r="AI251">
        <v>37.162700999999998</v>
      </c>
      <c r="AJ251" s="27">
        <f t="shared" si="66"/>
        <v>1.953030809036195E-2</v>
      </c>
      <c r="AK251" s="27">
        <f t="shared" si="67"/>
        <v>1.953030809036195E-2</v>
      </c>
    </row>
    <row r="252" spans="1:37" ht="14.5" x14ac:dyDescent="0.35">
      <c r="A252" s="1">
        <v>44991</v>
      </c>
      <c r="B252">
        <v>53.858001999999999</v>
      </c>
      <c r="D252" s="12">
        <f t="shared" si="57"/>
        <v>1.262022308216861E-4</v>
      </c>
      <c r="E252" s="13">
        <f t="shared" si="51"/>
        <v>1.262022308216861E-4</v>
      </c>
      <c r="F252" s="6"/>
      <c r="G252">
        <v>1032.9399410000001</v>
      </c>
      <c r="H252" s="9">
        <f t="shared" si="52"/>
        <v>2.8078980053689181E-4</v>
      </c>
      <c r="I252" s="10">
        <f t="shared" si="53"/>
        <v>2.8078980053689181E-4</v>
      </c>
      <c r="J252" s="6"/>
      <c r="K252">
        <v>211.429993</v>
      </c>
      <c r="L252" s="9">
        <f t="shared" si="54"/>
        <v>-1</v>
      </c>
      <c r="M252" s="10" t="str">
        <f t="shared" si="58"/>
        <v/>
      </c>
      <c r="N252" s="6"/>
      <c r="O252">
        <v>112.58000199999999</v>
      </c>
      <c r="P252" s="9">
        <f t="shared" si="55"/>
        <v>1.3501474267161643E-2</v>
      </c>
      <c r="Q252" s="10">
        <f t="shared" si="56"/>
        <v>1.3501474267161643E-2</v>
      </c>
      <c r="R252" s="6"/>
      <c r="S252">
        <v>7123.2001950000003</v>
      </c>
      <c r="T252" s="28">
        <f t="shared" si="59"/>
        <v>-1.9032219829390986E-2</v>
      </c>
      <c r="V252" s="6"/>
      <c r="W252">
        <v>76.910004000000001</v>
      </c>
      <c r="X252" s="27">
        <f t="shared" si="60"/>
        <v>-2.4704224433534039E-2</v>
      </c>
      <c r="Y252" s="26">
        <f t="shared" si="61"/>
        <v>-2.4704224433534039E-2</v>
      </c>
      <c r="Z252" s="6"/>
      <c r="AA252">
        <v>489.17001299999998</v>
      </c>
      <c r="AB252" s="27">
        <f t="shared" si="62"/>
        <v>-1.0139668966175941E-2</v>
      </c>
      <c r="AC252" s="26">
        <f t="shared" si="63"/>
        <v>-1.0139668966175941E-2</v>
      </c>
      <c r="AD252" s="6"/>
      <c r="AE252">
        <v>2099.040039</v>
      </c>
      <c r="AF252" s="27">
        <f t="shared" si="64"/>
        <v>-7.7654778837689172E-3</v>
      </c>
      <c r="AG252" s="27">
        <f t="shared" si="65"/>
        <v>-7.7654778837689172E-3</v>
      </c>
      <c r="AH252" s="6"/>
      <c r="AI252">
        <v>37.888500000000001</v>
      </c>
      <c r="AJ252" s="27">
        <f t="shared" si="66"/>
        <v>-9.2059595919605445E-3</v>
      </c>
      <c r="AK252" s="27">
        <f t="shared" si="67"/>
        <v>-9.2059595919605445E-3</v>
      </c>
    </row>
    <row r="253" spans="1:37" ht="14.5" x14ac:dyDescent="0.35">
      <c r="A253" s="1">
        <v>44992</v>
      </c>
      <c r="B253">
        <v>53.864798999999998</v>
      </c>
      <c r="D253" s="12">
        <f t="shared" si="57"/>
        <v>-1</v>
      </c>
      <c r="E253" s="13" t="str">
        <f t="shared" si="51"/>
        <v/>
      </c>
      <c r="F253" s="6"/>
      <c r="G253">
        <v>1033.2299800000001</v>
      </c>
      <c r="H253" s="9">
        <f t="shared" si="52"/>
        <v>3.097155581954618E-3</v>
      </c>
      <c r="I253" s="10">
        <f t="shared" si="53"/>
        <v>3.097155581954618E-3</v>
      </c>
      <c r="J253" s="6"/>
      <c r="K253" t="s">
        <v>42</v>
      </c>
      <c r="L253" s="9">
        <f t="shared" si="54"/>
        <v>-1</v>
      </c>
      <c r="M253" s="10" t="str">
        <f t="shared" si="58"/>
        <v/>
      </c>
      <c r="N253" s="6"/>
      <c r="O253">
        <v>114.099998</v>
      </c>
      <c r="P253" s="9">
        <f t="shared" si="55"/>
        <v>-1.6652068652972311E-2</v>
      </c>
      <c r="Q253" s="10">
        <f t="shared" si="56"/>
        <v>-1.6652068652972311E-2</v>
      </c>
      <c r="R253" s="6"/>
      <c r="S253">
        <v>6987.6298829999996</v>
      </c>
      <c r="T253" s="28">
        <f t="shared" si="59"/>
        <v>1.4092076519331052E-2</v>
      </c>
      <c r="V253" s="6"/>
      <c r="W253">
        <v>75.010002</v>
      </c>
      <c r="X253" s="27">
        <f t="shared" si="60"/>
        <v>-2.5196626444564062E-2</v>
      </c>
      <c r="Y253" s="26">
        <f t="shared" si="61"/>
        <v>-2.5196626444564062E-2</v>
      </c>
      <c r="Z253" s="6"/>
      <c r="AA253">
        <v>484.209991</v>
      </c>
      <c r="AB253" s="27">
        <f t="shared" si="62"/>
        <v>-1</v>
      </c>
      <c r="AC253" s="26" t="str">
        <f t="shared" si="63"/>
        <v/>
      </c>
      <c r="AD253" s="6"/>
      <c r="AE253">
        <v>2082.73999</v>
      </c>
      <c r="AF253" s="27">
        <f t="shared" si="64"/>
        <v>-3.2457291992554317E-3</v>
      </c>
      <c r="AG253" s="27">
        <f t="shared" si="65"/>
        <v>-3.2457291992554317E-3</v>
      </c>
      <c r="AH253" s="6"/>
      <c r="AI253">
        <v>37.539700000000003</v>
      </c>
      <c r="AJ253" s="27">
        <f t="shared" si="66"/>
        <v>2.3931970687032598E-2</v>
      </c>
      <c r="AK253" s="27">
        <f t="shared" si="67"/>
        <v>2.3931970687032598E-2</v>
      </c>
    </row>
    <row r="254" spans="1:37" ht="14.5" x14ac:dyDescent="0.35">
      <c r="A254" s="1">
        <v>44993</v>
      </c>
      <c r="B254" t="s">
        <v>42</v>
      </c>
      <c r="D254" s="12">
        <f t="shared" si="57"/>
        <v>-1</v>
      </c>
      <c r="E254" s="13" t="str">
        <f t="shared" si="51"/>
        <v/>
      </c>
      <c r="F254" s="6"/>
      <c r="G254">
        <v>1036.4300539999999</v>
      </c>
      <c r="H254" s="9">
        <f t="shared" si="52"/>
        <v>-1</v>
      </c>
      <c r="I254" s="10" t="str">
        <f t="shared" si="53"/>
        <v/>
      </c>
      <c r="J254" s="6"/>
      <c r="K254">
        <v>209.38999899999999</v>
      </c>
      <c r="L254" s="9">
        <f t="shared" si="54"/>
        <v>1.8243507417945025E-2</v>
      </c>
      <c r="M254" s="10">
        <f t="shared" si="58"/>
        <v>1.8243507417945025E-2</v>
      </c>
      <c r="N254" s="6"/>
      <c r="O254">
        <v>112.199997</v>
      </c>
      <c r="P254" s="9">
        <f t="shared" si="55"/>
        <v>-9.7147596180416958E-3</v>
      </c>
      <c r="Q254" s="10">
        <f t="shared" si="56"/>
        <v>-9.7147596180416958E-3</v>
      </c>
      <c r="R254" s="6"/>
      <c r="S254">
        <v>7086.1000979999999</v>
      </c>
      <c r="T254" s="28">
        <f t="shared" si="59"/>
        <v>-2.6135701364460147E-2</v>
      </c>
      <c r="V254" s="6"/>
      <c r="W254">
        <v>73.120002999999997</v>
      </c>
      <c r="X254" s="27">
        <f t="shared" si="60"/>
        <v>-4.0071128005834331E-2</v>
      </c>
      <c r="Y254" s="26">
        <f t="shared" si="61"/>
        <v>-4.0071128005834331E-2</v>
      </c>
      <c r="Z254" s="6"/>
      <c r="AA254" t="s">
        <v>42</v>
      </c>
      <c r="AB254" s="27">
        <f t="shared" si="62"/>
        <v>-1</v>
      </c>
      <c r="AC254" s="26" t="str">
        <f t="shared" si="63"/>
        <v/>
      </c>
      <c r="AD254" s="6"/>
      <c r="AE254">
        <v>2075.9799800000001</v>
      </c>
      <c r="AF254" s="27">
        <f t="shared" si="64"/>
        <v>1.1445201894480681E-2</v>
      </c>
      <c r="AG254" s="27">
        <f t="shared" si="65"/>
        <v>1.1445201894480681E-2</v>
      </c>
      <c r="AH254" s="6"/>
      <c r="AI254">
        <v>38.438099000000001</v>
      </c>
      <c r="AJ254" s="27">
        <f t="shared" si="66"/>
        <v>-5.0184063473066023E-3</v>
      </c>
      <c r="AK254" s="27">
        <f t="shared" si="67"/>
        <v>-5.0184063473066023E-3</v>
      </c>
    </row>
    <row r="255" spans="1:37" ht="14.5" x14ac:dyDescent="0.35">
      <c r="A255" s="1">
        <v>44994</v>
      </c>
      <c r="B255">
        <v>53.889899999999997</v>
      </c>
      <c r="D255" s="12">
        <f t="shared" si="57"/>
        <v>5.3794866941659181E-5</v>
      </c>
      <c r="E255" s="13">
        <f t="shared" si="51"/>
        <v>5.3794866941659181E-5</v>
      </c>
      <c r="F255" s="6"/>
      <c r="G255" t="s">
        <v>42</v>
      </c>
      <c r="H255" s="9">
        <f t="shared" si="52"/>
        <v>-1</v>
      </c>
      <c r="I255" s="10" t="str">
        <f t="shared" si="53"/>
        <v/>
      </c>
      <c r="J255" s="6"/>
      <c r="K255">
        <v>213.21000699999999</v>
      </c>
      <c r="L255" s="9">
        <f t="shared" si="54"/>
        <v>-7.9264712936292451E-3</v>
      </c>
      <c r="M255" s="10">
        <f t="shared" si="58"/>
        <v>-7.9264712936292451E-3</v>
      </c>
      <c r="N255" s="6"/>
      <c r="O255">
        <v>111.110001</v>
      </c>
      <c r="P255" s="9">
        <f t="shared" si="55"/>
        <v>-3.1140302122758475E-2</v>
      </c>
      <c r="Q255" s="10">
        <f t="shared" si="56"/>
        <v>-3.1140302122758475E-2</v>
      </c>
      <c r="R255" s="6"/>
      <c r="S255">
        <v>6900.8999020000001</v>
      </c>
      <c r="T255" s="28">
        <f t="shared" si="59"/>
        <v>2.725874402923632E-2</v>
      </c>
      <c r="V255" s="6"/>
      <c r="W255">
        <v>70.190002000000007</v>
      </c>
      <c r="X255" s="27">
        <f t="shared" si="60"/>
        <v>9.9728875915973923E-3</v>
      </c>
      <c r="Y255" s="26">
        <f t="shared" si="61"/>
        <v>9.9728875915973923E-3</v>
      </c>
      <c r="Z255" s="6"/>
      <c r="AA255">
        <v>498.85998499999999</v>
      </c>
      <c r="AB255" s="27">
        <f t="shared" si="62"/>
        <v>3.1071223321309689E-3</v>
      </c>
      <c r="AC255" s="26">
        <f t="shared" si="63"/>
        <v>3.1071223321309689E-3</v>
      </c>
      <c r="AD255" s="6"/>
      <c r="AE255">
        <v>2099.73999</v>
      </c>
      <c r="AF255" s="27">
        <f t="shared" si="64"/>
        <v>-2.1088339132884739E-2</v>
      </c>
      <c r="AG255" s="27">
        <f t="shared" si="65"/>
        <v>-2.1088339132884739E-2</v>
      </c>
      <c r="AH255" s="6"/>
      <c r="AI255">
        <v>38.245201000000002</v>
      </c>
      <c r="AJ255" s="27">
        <f t="shared" si="66"/>
        <v>9.423326079525611E-3</v>
      </c>
      <c r="AK255" s="27">
        <f t="shared" si="67"/>
        <v>9.423326079525611E-3</v>
      </c>
    </row>
    <row r="256" spans="1:37" ht="14.5" x14ac:dyDescent="0.35">
      <c r="A256" s="1">
        <v>44995</v>
      </c>
      <c r="B256">
        <v>53.892798999999997</v>
      </c>
      <c r="D256" s="12">
        <f t="shared" si="57"/>
        <v>-2.0373779435707789E-5</v>
      </c>
      <c r="E256" s="13">
        <f t="shared" si="51"/>
        <v>-2.0373779435707789E-5</v>
      </c>
      <c r="F256" s="6"/>
      <c r="G256">
        <v>1034.3199460000001</v>
      </c>
      <c r="H256" s="9">
        <f t="shared" si="52"/>
        <v>-1.4115177858128832E-3</v>
      </c>
      <c r="I256" s="10">
        <f t="shared" si="53"/>
        <v>-1.4115177858128832E-3</v>
      </c>
      <c r="J256" s="6"/>
      <c r="K256">
        <v>211.520004</v>
      </c>
      <c r="L256" s="9">
        <f t="shared" si="54"/>
        <v>2.222010642548965E-2</v>
      </c>
      <c r="M256" s="10">
        <f t="shared" si="58"/>
        <v>2.222010642548965E-2</v>
      </c>
      <c r="N256" s="6"/>
      <c r="O256">
        <v>107.650002</v>
      </c>
      <c r="P256" s="9">
        <f t="shared" si="55"/>
        <v>-1.3562470718765001E-2</v>
      </c>
      <c r="Q256" s="10">
        <f t="shared" si="56"/>
        <v>-1.3562470718765001E-2</v>
      </c>
      <c r="R256" s="6"/>
      <c r="S256">
        <v>7089.0097660000001</v>
      </c>
      <c r="T256" s="28">
        <f t="shared" si="59"/>
        <v>2.3007526492946329E-3</v>
      </c>
      <c r="V256" s="6"/>
      <c r="W256">
        <v>70.889999000000003</v>
      </c>
      <c r="X256" s="27">
        <f t="shared" si="60"/>
        <v>5.2475695478568049E-2</v>
      </c>
      <c r="Y256" s="26">
        <f t="shared" si="61"/>
        <v>5.2475695478568049E-2</v>
      </c>
      <c r="Z256" s="6"/>
      <c r="AA256">
        <v>500.41000400000001</v>
      </c>
      <c r="AB256" s="27">
        <f t="shared" si="62"/>
        <v>8.0733957508970985E-3</v>
      </c>
      <c r="AC256" s="26">
        <f t="shared" si="63"/>
        <v>8.0733957508970985E-3</v>
      </c>
      <c r="AD256" s="6"/>
      <c r="AE256">
        <v>2055.459961</v>
      </c>
      <c r="AF256" s="27">
        <f t="shared" si="64"/>
        <v>-3.0241363577697088E-2</v>
      </c>
      <c r="AG256" s="27">
        <f t="shared" si="65"/>
        <v>-3.0241363577697088E-2</v>
      </c>
      <c r="AH256" s="6"/>
      <c r="AI256">
        <v>38.605598000000001</v>
      </c>
      <c r="AJ256" s="27">
        <f t="shared" si="66"/>
        <v>9.7628328409781178E-3</v>
      </c>
      <c r="AK256" s="27">
        <f t="shared" si="67"/>
        <v>9.7628328409781178E-3</v>
      </c>
    </row>
    <row r="257" spans="1:37" ht="14.5" x14ac:dyDescent="0.35">
      <c r="A257" s="1">
        <v>44998</v>
      </c>
      <c r="B257">
        <v>53.891700999999998</v>
      </c>
      <c r="D257" s="12">
        <f t="shared" si="57"/>
        <v>1.1502698717938567E-4</v>
      </c>
      <c r="E257" s="13">
        <f t="shared" si="51"/>
        <v>1.1502698717938567E-4</v>
      </c>
      <c r="F257" s="6"/>
      <c r="G257">
        <v>1032.8599850000001</v>
      </c>
      <c r="H257" s="9">
        <f t="shared" si="52"/>
        <v>3.8339765868652767E-3</v>
      </c>
      <c r="I257" s="10">
        <f t="shared" si="53"/>
        <v>3.8339765868652767E-3</v>
      </c>
      <c r="J257" s="6"/>
      <c r="K257">
        <v>216.220001</v>
      </c>
      <c r="L257" s="9">
        <f t="shared" si="54"/>
        <v>-5.7811488031581319E-3</v>
      </c>
      <c r="M257" s="10">
        <f t="shared" si="58"/>
        <v>-5.7811488031581319E-3</v>
      </c>
      <c r="N257" s="6"/>
      <c r="O257">
        <v>106.19000200000001</v>
      </c>
      <c r="P257" s="9">
        <f t="shared" si="55"/>
        <v>-1.9775778891124841E-3</v>
      </c>
      <c r="Q257" s="10">
        <f t="shared" si="56"/>
        <v>-1.9775778891124841E-3</v>
      </c>
      <c r="R257" s="6"/>
      <c r="S257">
        <v>7105.3198240000002</v>
      </c>
      <c r="T257" s="28">
        <f t="shared" si="59"/>
        <v>1.8043259582343283E-3</v>
      </c>
      <c r="V257" s="6"/>
      <c r="W257">
        <v>74.610000999999997</v>
      </c>
      <c r="X257" s="27">
        <f t="shared" si="60"/>
        <v>-2.2115024499195498E-2</v>
      </c>
      <c r="Y257" s="26">
        <f t="shared" si="61"/>
        <v>-2.2115024499195498E-2</v>
      </c>
      <c r="Z257" s="6"/>
      <c r="AA257">
        <v>504.45001200000002</v>
      </c>
      <c r="AB257" s="27">
        <f t="shared" si="62"/>
        <v>1.1794988320864541E-2</v>
      </c>
      <c r="AC257" s="26">
        <f t="shared" si="63"/>
        <v>1.1794988320864541E-2</v>
      </c>
      <c r="AD257" s="6"/>
      <c r="AE257">
        <v>1993.3000489999999</v>
      </c>
      <c r="AF257" s="27">
        <f t="shared" si="64"/>
        <v>-1.103195176814047E-2</v>
      </c>
      <c r="AG257" s="27">
        <f t="shared" si="65"/>
        <v>-1.103195176814047E-2</v>
      </c>
      <c r="AH257" s="6"/>
      <c r="AI257">
        <v>38.982498</v>
      </c>
      <c r="AJ257" s="27">
        <f t="shared" si="66"/>
        <v>-1.432181180385112E-2</v>
      </c>
      <c r="AK257" s="27">
        <f t="shared" si="67"/>
        <v>-1.432181180385112E-2</v>
      </c>
    </row>
    <row r="258" spans="1:37" ht="14.5" x14ac:dyDescent="0.35">
      <c r="A258" s="1">
        <v>44999</v>
      </c>
      <c r="B258">
        <v>53.8979</v>
      </c>
      <c r="D258" s="12">
        <f t="shared" si="57"/>
        <v>-1</v>
      </c>
      <c r="E258" s="13" t="str">
        <f t="shared" si="51"/>
        <v/>
      </c>
      <c r="F258" s="6"/>
      <c r="G258">
        <v>1036.8199460000001</v>
      </c>
      <c r="H258" s="9">
        <f t="shared" si="52"/>
        <v>1.5336201875112492E-3</v>
      </c>
      <c r="I258" s="10">
        <f t="shared" si="53"/>
        <v>1.5336201875112492E-3</v>
      </c>
      <c r="J258" s="6"/>
      <c r="K258">
        <v>214.970001</v>
      </c>
      <c r="L258" s="9">
        <f t="shared" si="54"/>
        <v>8.7454295541451437E-3</v>
      </c>
      <c r="M258" s="10">
        <f t="shared" si="58"/>
        <v>8.7454295541451437E-3</v>
      </c>
      <c r="N258" s="6"/>
      <c r="O258">
        <v>105.980003</v>
      </c>
      <c r="P258" s="9">
        <f t="shared" si="55"/>
        <v>1.9531986614493749E-2</v>
      </c>
      <c r="Q258" s="10">
        <f t="shared" si="56"/>
        <v>1.9531986614493749E-2</v>
      </c>
      <c r="R258" s="6"/>
      <c r="S258">
        <v>7118.1401370000003</v>
      </c>
      <c r="T258" s="28">
        <f t="shared" si="59"/>
        <v>-1.4020489633415048E-3</v>
      </c>
      <c r="V258" s="6"/>
      <c r="W258">
        <v>72.959998999999996</v>
      </c>
      <c r="X258" s="27">
        <f t="shared" si="60"/>
        <v>1.0964953549410052E-2</v>
      </c>
      <c r="Y258" s="26">
        <f t="shared" si="61"/>
        <v>1.0964953549410052E-2</v>
      </c>
      <c r="Z258" s="6"/>
      <c r="AA258">
        <v>510.39999399999999</v>
      </c>
      <c r="AB258" s="27">
        <f t="shared" si="62"/>
        <v>1.5536879101138872E-2</v>
      </c>
      <c r="AC258" s="26">
        <f t="shared" si="63"/>
        <v>1.5536879101138872E-2</v>
      </c>
      <c r="AD258" s="6"/>
      <c r="AE258">
        <v>1971.3100589999999</v>
      </c>
      <c r="AF258" s="27">
        <f t="shared" si="64"/>
        <v>2.2284637974345226E-2</v>
      </c>
      <c r="AG258" s="27">
        <f t="shared" si="65"/>
        <v>2.2284637974345226E-2</v>
      </c>
      <c r="AH258" s="6"/>
      <c r="AI258">
        <v>38.424197999999997</v>
      </c>
      <c r="AJ258" s="27">
        <f t="shared" si="66"/>
        <v>1.690088625922653E-2</v>
      </c>
      <c r="AK258" s="27">
        <f t="shared" si="67"/>
        <v>1.690088625922653E-2</v>
      </c>
    </row>
    <row r="259" spans="1:37" ht="14.5" x14ac:dyDescent="0.35">
      <c r="A259" s="1">
        <v>45000</v>
      </c>
      <c r="B259" t="s">
        <v>42</v>
      </c>
      <c r="D259" s="12">
        <f t="shared" si="57"/>
        <v>-1</v>
      </c>
      <c r="E259" s="13" t="str">
        <f t="shared" si="51"/>
        <v/>
      </c>
      <c r="F259" s="6"/>
      <c r="G259">
        <v>1038.410034</v>
      </c>
      <c r="H259" s="9">
        <f t="shared" si="52"/>
        <v>-6.2788482261526835E-3</v>
      </c>
      <c r="I259" s="10">
        <f t="shared" si="53"/>
        <v>-6.2788482261526835E-3</v>
      </c>
      <c r="J259" s="6"/>
      <c r="K259">
        <v>216.85000600000001</v>
      </c>
      <c r="L259" s="9">
        <f t="shared" si="54"/>
        <v>8.438952959955134E-3</v>
      </c>
      <c r="M259" s="10">
        <f t="shared" si="58"/>
        <v>8.438952959955134E-3</v>
      </c>
      <c r="N259" s="6"/>
      <c r="O259">
        <v>108.050003</v>
      </c>
      <c r="P259" s="9">
        <f t="shared" si="55"/>
        <v>-1.5826070823894419E-2</v>
      </c>
      <c r="Q259" s="10">
        <f t="shared" si="56"/>
        <v>-1.5826070823894419E-2</v>
      </c>
      <c r="R259" s="6"/>
      <c r="S259">
        <v>7108.1601559999999</v>
      </c>
      <c r="T259" s="28">
        <f t="shared" si="59"/>
        <v>-6.5141624532639411E-4</v>
      </c>
      <c r="V259" s="6"/>
      <c r="W259">
        <v>73.760002</v>
      </c>
      <c r="X259" s="27">
        <f t="shared" si="60"/>
        <v>-4.4739966248915405E-3</v>
      </c>
      <c r="Y259" s="26">
        <f t="shared" si="61"/>
        <v>-4.4739966248915405E-3</v>
      </c>
      <c r="Z259" s="6"/>
      <c r="AA259">
        <v>518.330017</v>
      </c>
      <c r="AB259" s="27">
        <f t="shared" si="62"/>
        <v>-1</v>
      </c>
      <c r="AC259" s="26" t="str">
        <f t="shared" si="63"/>
        <v/>
      </c>
      <c r="AD259" s="6"/>
      <c r="AE259">
        <v>2015.23999</v>
      </c>
      <c r="AF259" s="27">
        <f t="shared" si="64"/>
        <v>6.0092029039181261E-3</v>
      </c>
      <c r="AG259" s="27">
        <f t="shared" si="65"/>
        <v>6.0092029039181261E-3</v>
      </c>
      <c r="AH259" s="6"/>
      <c r="AI259">
        <v>39.073600999999996</v>
      </c>
      <c r="AJ259" s="27">
        <f t="shared" si="66"/>
        <v>-6.3521148204384106E-3</v>
      </c>
      <c r="AK259" s="27">
        <f t="shared" si="67"/>
        <v>-6.3521148204384106E-3</v>
      </c>
    </row>
    <row r="260" spans="1:37" ht="14.5" x14ac:dyDescent="0.35">
      <c r="A260" s="1">
        <v>45001</v>
      </c>
      <c r="B260">
        <v>53.922297999999998</v>
      </c>
      <c r="D260" s="12">
        <f t="shared" si="57"/>
        <v>2.4127310004575542E-5</v>
      </c>
      <c r="E260" s="13">
        <f t="shared" si="51"/>
        <v>2.4127310004575542E-5</v>
      </c>
      <c r="F260" s="6"/>
      <c r="G260">
        <v>1031.8900149999999</v>
      </c>
      <c r="H260" s="9">
        <f t="shared" si="52"/>
        <v>2.7715986766283919E-3</v>
      </c>
      <c r="I260" s="10">
        <f t="shared" si="53"/>
        <v>2.7715986766283919E-3</v>
      </c>
      <c r="J260" s="6"/>
      <c r="K260">
        <v>218.679993</v>
      </c>
      <c r="L260" s="9">
        <f t="shared" si="54"/>
        <v>-8.8256496331605254E-3</v>
      </c>
      <c r="M260" s="10">
        <f t="shared" si="58"/>
        <v>-8.8256496331605254E-3</v>
      </c>
      <c r="N260" s="6"/>
      <c r="O260">
        <v>106.339996</v>
      </c>
      <c r="P260" s="9">
        <f t="shared" si="55"/>
        <v>-6.7706698051784985E-3</v>
      </c>
      <c r="Q260" s="10">
        <f t="shared" si="56"/>
        <v>-6.7706698051784985E-3</v>
      </c>
      <c r="R260" s="6"/>
      <c r="S260">
        <v>7103.5297849999997</v>
      </c>
      <c r="T260" s="28">
        <f t="shared" si="59"/>
        <v>5.9309065035475454E-3</v>
      </c>
      <c r="V260" s="6"/>
      <c r="W260">
        <v>73.430000000000007</v>
      </c>
      <c r="X260" s="27">
        <f t="shared" si="60"/>
        <v>3.5408143810431707E-3</v>
      </c>
      <c r="Y260" s="26">
        <f t="shared" si="61"/>
        <v>3.5408143810431707E-3</v>
      </c>
      <c r="Z260" s="6"/>
      <c r="AA260" t="s">
        <v>42</v>
      </c>
      <c r="AB260" s="27">
        <f t="shared" si="62"/>
        <v>-1</v>
      </c>
      <c r="AC260" s="26" t="str">
        <f t="shared" si="63"/>
        <v/>
      </c>
      <c r="AD260" s="6"/>
      <c r="AE260">
        <v>2027.349976</v>
      </c>
      <c r="AF260" s="27">
        <f t="shared" si="64"/>
        <v>1.7392227004421265E-2</v>
      </c>
      <c r="AG260" s="27">
        <f t="shared" si="65"/>
        <v>1.7392227004421265E-2</v>
      </c>
      <c r="AH260" s="6"/>
      <c r="AI260">
        <v>38.825400999999999</v>
      </c>
      <c r="AJ260" s="27">
        <f t="shared" si="66"/>
        <v>-5.9729711484500219E-3</v>
      </c>
      <c r="AK260" s="27">
        <f t="shared" si="67"/>
        <v>-5.9729711484500219E-3</v>
      </c>
    </row>
    <row r="261" spans="1:37" ht="14.5" x14ac:dyDescent="0.35">
      <c r="A261" s="1">
        <v>45002</v>
      </c>
      <c r="B261">
        <v>53.923599000000003</v>
      </c>
      <c r="D261" s="12">
        <f t="shared" si="57"/>
        <v>5.9361764781262519E-5</v>
      </c>
      <c r="E261" s="13">
        <f t="shared" si="51"/>
        <v>5.9361764781262519E-5</v>
      </c>
      <c r="F261" s="6"/>
      <c r="G261">
        <v>1034.75</v>
      </c>
      <c r="H261" s="9">
        <f t="shared" si="52"/>
        <v>-2.8029862285574181E-4</v>
      </c>
      <c r="I261" s="10">
        <f t="shared" si="53"/>
        <v>-2.8029862285574181E-4</v>
      </c>
      <c r="J261" s="6"/>
      <c r="K261">
        <v>216.75</v>
      </c>
      <c r="L261" s="9">
        <f t="shared" si="54"/>
        <v>1.1810832756632098E-2</v>
      </c>
      <c r="M261" s="10">
        <f t="shared" si="58"/>
        <v>1.1810832756632098E-2</v>
      </c>
      <c r="N261" s="6"/>
      <c r="O261">
        <v>105.620003</v>
      </c>
      <c r="P261" s="9">
        <f t="shared" si="55"/>
        <v>-2.0166681873697703E-2</v>
      </c>
      <c r="Q261" s="10">
        <f t="shared" si="56"/>
        <v>-2.0166681873697703E-2</v>
      </c>
      <c r="R261" s="6"/>
      <c r="S261">
        <v>7145.6601559999999</v>
      </c>
      <c r="T261" s="28">
        <f t="shared" si="59"/>
        <v>-6.4519595101777808E-4</v>
      </c>
      <c r="V261" s="6"/>
      <c r="W261">
        <v>73.690002000000007</v>
      </c>
      <c r="X261" s="27">
        <f t="shared" si="60"/>
        <v>-4.4782330172824522E-3</v>
      </c>
      <c r="Y261" s="26">
        <f t="shared" si="61"/>
        <v>-4.4782330172824522E-3</v>
      </c>
      <c r="Z261" s="6"/>
      <c r="AA261">
        <v>510.73001099999999</v>
      </c>
      <c r="AB261" s="27">
        <f t="shared" si="62"/>
        <v>-1.76805725246484E-2</v>
      </c>
      <c r="AC261" s="26">
        <f t="shared" si="63"/>
        <v>-1.76805725246484E-2</v>
      </c>
      <c r="AD261" s="6"/>
      <c r="AE261">
        <v>2062.610107</v>
      </c>
      <c r="AF261" s="27">
        <f t="shared" si="64"/>
        <v>-1.0021363674041127E-2</v>
      </c>
      <c r="AG261" s="27">
        <f t="shared" si="65"/>
        <v>-1.0021363674041127E-2</v>
      </c>
      <c r="AH261" s="6"/>
      <c r="AI261">
        <v>38.593497999999997</v>
      </c>
      <c r="AJ261" s="27">
        <f t="shared" si="66"/>
        <v>-8.1826995832302747E-3</v>
      </c>
      <c r="AK261" s="27">
        <f t="shared" si="67"/>
        <v>-8.1826995832302747E-3</v>
      </c>
    </row>
    <row r="262" spans="1:37" ht="14.5" x14ac:dyDescent="0.35">
      <c r="A262" s="1">
        <v>45005</v>
      </c>
      <c r="B262">
        <v>53.9268</v>
      </c>
      <c r="D262" s="12">
        <f t="shared" si="57"/>
        <v>8.8991002618335293E-5</v>
      </c>
      <c r="E262" s="13">
        <f t="shared" si="51"/>
        <v>8.8991002618335293E-5</v>
      </c>
      <c r="F262" s="6"/>
      <c r="G262">
        <v>1034.459961</v>
      </c>
      <c r="H262" s="9">
        <f t="shared" si="52"/>
        <v>2.0204629263557579E-3</v>
      </c>
      <c r="I262" s="10">
        <f t="shared" si="53"/>
        <v>2.0204629263557579E-3</v>
      </c>
      <c r="J262" s="6"/>
      <c r="K262">
        <v>219.30999800000001</v>
      </c>
      <c r="L262" s="9">
        <f t="shared" si="54"/>
        <v>-1.8238748969393581E-3</v>
      </c>
      <c r="M262" s="10">
        <f t="shared" si="58"/>
        <v>-1.8238748969393581E-3</v>
      </c>
      <c r="N262" s="6"/>
      <c r="O262">
        <v>103.489998</v>
      </c>
      <c r="P262" s="9">
        <f t="shared" si="55"/>
        <v>3.28538029346559E-3</v>
      </c>
      <c r="Q262" s="10">
        <f t="shared" si="56"/>
        <v>3.28538029346559E-3</v>
      </c>
      <c r="R262" s="6"/>
      <c r="S262">
        <v>7141.0498049999997</v>
      </c>
      <c r="T262" s="28">
        <f t="shared" si="59"/>
        <v>1.1432511777587299E-2</v>
      </c>
      <c r="V262" s="6"/>
      <c r="W262">
        <v>73.360000999999997</v>
      </c>
      <c r="X262" s="27">
        <f t="shared" si="60"/>
        <v>1.9492911402768476E-2</v>
      </c>
      <c r="Y262" s="26">
        <f t="shared" si="61"/>
        <v>1.9492911402768476E-2</v>
      </c>
      <c r="Z262" s="6"/>
      <c r="AA262">
        <v>501.70001200000002</v>
      </c>
      <c r="AB262" s="27">
        <f t="shared" si="62"/>
        <v>-1</v>
      </c>
      <c r="AC262" s="26" t="str">
        <f t="shared" si="63"/>
        <v/>
      </c>
      <c r="AD262" s="6"/>
      <c r="AE262">
        <v>2041.9399410000001</v>
      </c>
      <c r="AF262" s="27">
        <f t="shared" si="64"/>
        <v>-2.2525687007952068E-4</v>
      </c>
      <c r="AG262" s="27">
        <f t="shared" si="65"/>
        <v>-2.2525687007952068E-4</v>
      </c>
      <c r="AH262" s="6"/>
      <c r="AI262">
        <v>38.277698999999998</v>
      </c>
      <c r="AJ262" s="27">
        <f t="shared" si="66"/>
        <v>2.1378035288902888E-2</v>
      </c>
      <c r="AK262" s="27">
        <f t="shared" si="67"/>
        <v>2.1378035288902888E-2</v>
      </c>
    </row>
    <row r="263" spans="1:37" ht="14.5" x14ac:dyDescent="0.35">
      <c r="A263" s="1">
        <v>45006</v>
      </c>
      <c r="B263">
        <v>53.931598999999999</v>
      </c>
      <c r="D263" s="12">
        <f t="shared" si="57"/>
        <v>-1</v>
      </c>
      <c r="E263" s="13" t="str">
        <f t="shared" si="51"/>
        <v/>
      </c>
      <c r="F263" s="6"/>
      <c r="G263">
        <v>1036.5500489999999</v>
      </c>
      <c r="H263" s="9">
        <f t="shared" si="52"/>
        <v>-1.6786357799883085E-3</v>
      </c>
      <c r="I263" s="10">
        <f t="shared" si="53"/>
        <v>-1.6786357799883085E-3</v>
      </c>
      <c r="J263" s="6"/>
      <c r="K263">
        <v>218.91000399999999</v>
      </c>
      <c r="L263" s="9">
        <f t="shared" si="54"/>
        <v>-1.6902425345530431E-3</v>
      </c>
      <c r="M263" s="10">
        <f t="shared" si="58"/>
        <v>-1.6902425345530431E-3</v>
      </c>
      <c r="N263" s="6"/>
      <c r="O263">
        <v>103.83000199999999</v>
      </c>
      <c r="P263" s="9">
        <f>IFERROR((O264-O263)/O263,-100%)</f>
        <v>-5.2008185456838335E-3</v>
      </c>
      <c r="Q263" s="10">
        <f>IF(P263=-1,"",P263)</f>
        <v>-5.2008185456838335E-3</v>
      </c>
      <c r="R263" s="6"/>
      <c r="S263">
        <v>7222.6899409999996</v>
      </c>
      <c r="T263" s="28">
        <f t="shared" si="59"/>
        <v>6.7149497481107509E-3</v>
      </c>
      <c r="V263" s="6"/>
      <c r="W263">
        <v>74.790001000000004</v>
      </c>
      <c r="X263" s="27">
        <f>IFERROR((W264-W263)/W263,-100%)</f>
        <v>-1</v>
      </c>
      <c r="Y263" s="26" t="str">
        <f t="shared" si="61"/>
        <v/>
      </c>
      <c r="Z263" s="6"/>
      <c r="AA263" t="s">
        <v>42</v>
      </c>
      <c r="AB263" s="27">
        <f t="shared" si="62"/>
        <v>-1</v>
      </c>
      <c r="AC263" s="26" t="str">
        <f t="shared" si="63"/>
        <v/>
      </c>
      <c r="AD263" s="6"/>
      <c r="AE263">
        <v>2041.4799800000001</v>
      </c>
      <c r="AF263" s="27">
        <f t="shared" si="64"/>
        <v>1.1143876120695536E-2</v>
      </c>
      <c r="AG263" s="27">
        <f t="shared" si="65"/>
        <v>1.1143876120695536E-2</v>
      </c>
      <c r="AH263" s="6"/>
      <c r="AI263">
        <v>39.096001000000001</v>
      </c>
      <c r="AJ263" s="27">
        <f t="shared" si="66"/>
        <v>-1</v>
      </c>
      <c r="AK263" s="27" t="str">
        <f t="shared" si="67"/>
        <v/>
      </c>
    </row>
    <row r="264" spans="1:37" ht="14.5" x14ac:dyDescent="0.35">
      <c r="A264" s="1">
        <v>45007</v>
      </c>
      <c r="B264" t="s">
        <v>42</v>
      </c>
      <c r="D264" s="12">
        <f>IFERROR((#REF!-B264)/B264,-100%)</f>
        <v>-1</v>
      </c>
      <c r="E264" s="13" t="str">
        <f t="shared" si="51"/>
        <v/>
      </c>
      <c r="F264" s="6"/>
      <c r="G264">
        <v>1034.8100589999999</v>
      </c>
      <c r="H264" s="9">
        <f>IFERROR((#REF!-G264)/G264,H263)</f>
        <v>-1.6786357799883085E-3</v>
      </c>
      <c r="I264" s="10">
        <f t="shared" si="53"/>
        <v>-1.6786357799883085E-3</v>
      </c>
      <c r="J264" s="6"/>
      <c r="K264">
        <v>218.53999300000001</v>
      </c>
      <c r="L264" s="9">
        <f>IFERROR((#REF!-K264)/K264,L263)</f>
        <v>-1.6902425345530431E-3</v>
      </c>
      <c r="M264" s="10">
        <f t="shared" si="58"/>
        <v>-1.6902425345530431E-3</v>
      </c>
      <c r="N264" s="6"/>
      <c r="O264">
        <v>103.290001</v>
      </c>
      <c r="P264" s="9">
        <f>IFERROR((#REF!-O264)/O264,P263)</f>
        <v>-5.2008185456838335E-3</v>
      </c>
      <c r="Q264" s="10">
        <f t="shared" si="56"/>
        <v>-5.2008185456838335E-3</v>
      </c>
      <c r="R264" s="6"/>
      <c r="S264">
        <v>7271.1899409999996</v>
      </c>
      <c r="T264" s="28">
        <f>IFERROR((#REF!-S264)/S264,T263)</f>
        <v>6.7149497481107509E-3</v>
      </c>
      <c r="V264" s="6"/>
      <c r="W264" t="s">
        <v>42</v>
      </c>
      <c r="X264" s="27">
        <f t="shared" si="60"/>
        <v>-1</v>
      </c>
      <c r="Y264" s="26" t="str">
        <f t="shared" si="61"/>
        <v/>
      </c>
      <c r="Z264" s="6"/>
      <c r="AA264">
        <v>520.90997300000004</v>
      </c>
      <c r="AB264" s="27">
        <f t="shared" si="62"/>
        <v>-1</v>
      </c>
      <c r="AC264" s="26" t="str">
        <f t="shared" si="63"/>
        <v/>
      </c>
      <c r="AD264" s="6"/>
      <c r="AE264">
        <v>2064.2299800000001</v>
      </c>
      <c r="AF264" s="27">
        <f>IFERROR((#REF!-AE264)/AE264,AF263)</f>
        <v>1.1143876120695536E-2</v>
      </c>
      <c r="AG264" s="27">
        <f t="shared" si="65"/>
        <v>1.1143876120695536E-2</v>
      </c>
      <c r="AH264" s="6"/>
      <c r="AI264" t="s">
        <v>42</v>
      </c>
      <c r="AJ264" s="27">
        <f t="shared" si="66"/>
        <v>-1</v>
      </c>
      <c r="AK264" s="27" t="str">
        <f t="shared" si="67"/>
        <v/>
      </c>
    </row>
    <row r="265" spans="1:37" ht="14.5" x14ac:dyDescent="0.35"/>
    <row r="266" spans="1:37" ht="14.5" x14ac:dyDescent="0.35"/>
    <row r="267" spans="1:37" ht="14.5" x14ac:dyDescent="0.35"/>
    <row r="268" spans="1:37" ht="14.5" x14ac:dyDescent="0.35"/>
    <row r="269" spans="1:37" ht="14.5" x14ac:dyDescent="0.35"/>
    <row r="270" spans="1:37" ht="14.5" x14ac:dyDescent="0.35"/>
    <row r="271" spans="1:37" ht="14.5" x14ac:dyDescent="0.35"/>
    <row r="272" spans="1:37" ht="14.5" x14ac:dyDescent="0.35"/>
  </sheetData>
  <mergeCells count="9">
    <mergeCell ref="W3:W6"/>
    <mergeCell ref="AA3:AA6"/>
    <mergeCell ref="AE3:AE6"/>
    <mergeCell ref="AI3:AI6"/>
    <mergeCell ref="C3:C6"/>
    <mergeCell ref="G3:G6"/>
    <mergeCell ref="K3:K6"/>
    <mergeCell ref="O3:O6"/>
    <mergeCell ref="S3:S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alculateCovariance">
                <anchor moveWithCells="1" sizeWithCells="1">
                  <from>
                    <xdr:col>0</xdr:col>
                    <xdr:colOff>603250</xdr:colOff>
                    <xdr:row>2</xdr:row>
                    <xdr:rowOff>107950</xdr:rowOff>
                  </from>
                  <to>
                    <xdr:col>1</xdr:col>
                    <xdr:colOff>203200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17E1A-C5C6-417C-86F8-DC23FF69B6F9}">
  <sheetPr codeName="Sheet3"/>
  <dimension ref="A1:F7"/>
  <sheetViews>
    <sheetView topLeftCell="A7" workbookViewId="0">
      <selection activeCell="E17" sqref="E17"/>
    </sheetView>
  </sheetViews>
  <sheetFormatPr defaultRowHeight="14.5" x14ac:dyDescent="0.35"/>
  <cols>
    <col min="1" max="1" width="12.7265625" bestFit="1" customWidth="1"/>
    <col min="2" max="2" width="16.26953125" bestFit="1" customWidth="1"/>
  </cols>
  <sheetData>
    <row r="1" spans="1:6" x14ac:dyDescent="0.35">
      <c r="A1" t="s">
        <v>43</v>
      </c>
      <c r="B1" t="s">
        <v>44</v>
      </c>
    </row>
    <row r="2" spans="1:6" x14ac:dyDescent="0.35">
      <c r="A2" t="s">
        <v>45</v>
      </c>
      <c r="B2" t="s">
        <v>46</v>
      </c>
    </row>
    <row r="3" spans="1:6" x14ac:dyDescent="0.35">
      <c r="A3" t="s">
        <v>47</v>
      </c>
      <c r="B3" t="s">
        <v>48</v>
      </c>
      <c r="F3" t="s">
        <v>49</v>
      </c>
    </row>
    <row r="4" spans="1:6" x14ac:dyDescent="0.35">
      <c r="A4" t="s">
        <v>50</v>
      </c>
      <c r="F4" t="s">
        <v>51</v>
      </c>
    </row>
    <row r="5" spans="1:6" x14ac:dyDescent="0.35">
      <c r="A5" t="s">
        <v>52</v>
      </c>
    </row>
    <row r="6" spans="1:6" x14ac:dyDescent="0.35">
      <c r="A6" t="s">
        <v>53</v>
      </c>
    </row>
    <row r="7" spans="1:6" x14ac:dyDescent="0.35">
      <c r="A7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7D62F-1DE2-4993-A788-5A8FBAD08375}">
  <sheetPr codeName="Sheet4"/>
  <dimension ref="A1"/>
  <sheetViews>
    <sheetView workbookViewId="0">
      <selection activeCell="D10" sqref="D10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Calculs</vt:lpstr>
      <vt:lpstr>Data</vt:lpstr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Remi Riche</dc:creator>
  <cp:keywords/>
  <dc:description/>
  <cp:lastModifiedBy>Remi Riche</cp:lastModifiedBy>
  <cp:revision/>
  <dcterms:created xsi:type="dcterms:W3CDTF">2023-04-01T13:31:31Z</dcterms:created>
  <dcterms:modified xsi:type="dcterms:W3CDTF">2023-06-25T12:11:44Z</dcterms:modified>
  <cp:category/>
  <cp:contentStatus/>
</cp:coreProperties>
</file>